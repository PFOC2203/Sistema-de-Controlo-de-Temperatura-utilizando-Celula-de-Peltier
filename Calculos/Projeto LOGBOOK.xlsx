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sepipp-my.sharepoint.com/personal/1210717_isep_ipp_pt/Documents/licenciaturia em eltrotecnica e de computadores/3 ano/Pesta/PESTA/"/>
    </mc:Choice>
  </mc:AlternateContent>
  <xr:revisionPtr revIDLastSave="129" documentId="13_ncr:1_{FBB0FE9F-AD08-4E01-AE61-7A9275D6CD13}" xr6:coauthVersionLast="47" xr6:coauthVersionMax="47" xr10:uidLastSave="{1739ABC2-9E1B-494E-B785-30C0BC29F09B}"/>
  <bookViews>
    <workbookView xWindow="-120" yWindow="-120" windowWidth="29040" windowHeight="15720" firstSheet="2" activeTab="2" xr2:uid="{C864D7E7-063C-44B1-BCDD-DD278356828D}"/>
  </bookViews>
  <sheets>
    <sheet name="Custos e aquisição do material " sheetId="1" r:id="rId1"/>
    <sheet name="Escolha do sensor de temperatur" sheetId="2" r:id="rId2"/>
    <sheet name="Folha1" sheetId="4" r:id="rId3"/>
    <sheet name="Folha2" sheetId="5" r:id="rId4"/>
    <sheet name="Folha3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C10" i="4"/>
  <c r="C8" i="4"/>
  <c r="C9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7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H4" i="4"/>
  <c r="H5" i="4"/>
  <c r="C22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tc={2ABE4191-7037-4120-8106-AC059C41804B}</author>
  </authors>
  <commentList>
    <comment ref="A4" authorId="0" shapeId="0" xr:uid="{2ABE4191-7037-4120-8106-AC059C41804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Nota: Usei uma fonte de 50W devido ao alto consumo da célula, a segunda fonte usada para gerar -12, segundo o esquema de ligação não precisa de tanta potencia útil 
</t>
      </text>
    </comment>
  </commentList>
</comments>
</file>

<file path=xl/sharedStrings.xml><?xml version="1.0" encoding="utf-8"?>
<sst xmlns="http://schemas.openxmlformats.org/spreadsheetml/2006/main" count="51" uniqueCount="44">
  <si>
    <t>Lista de equipamentos PESTA</t>
  </si>
  <si>
    <t xml:space="preserve">Alimentação </t>
  </si>
  <si>
    <t>Fonte de alimentação 12V</t>
  </si>
  <si>
    <t>RS-50-12</t>
  </si>
  <si>
    <t>Link</t>
  </si>
  <si>
    <t xml:space="preserve">Datasheet </t>
  </si>
  <si>
    <t xml:space="preserve">Segunda fonte de alimentação </t>
  </si>
  <si>
    <t>RS-15-12</t>
  </si>
  <si>
    <t>link</t>
  </si>
  <si>
    <t xml:space="preserve">Total </t>
  </si>
  <si>
    <t xml:space="preserve">Controlo </t>
  </si>
  <si>
    <t xml:space="preserve">Resistencias </t>
  </si>
  <si>
    <t>PT100</t>
  </si>
  <si>
    <t>72-11301001-0150.0050.JJ.TM</t>
  </si>
  <si>
    <t xml:space="preserve">Celula </t>
  </si>
  <si>
    <t>TEC1-12703</t>
  </si>
  <si>
    <t>Datasheet</t>
  </si>
  <si>
    <t>Parâmetro</t>
  </si>
  <si>
    <t>Especificação</t>
  </si>
  <si>
    <t>https://www.amazon.co.uk/72-11301001-0150-0050-JJ-TM-Sensor-Temperature-Pt100-%C3%986x50mm/dp/B092PPFMT1?utm_source=chatgpt.com</t>
  </si>
  <si>
    <t>Modelo</t>
  </si>
  <si>
    <t>Tipo do Sensor</t>
  </si>
  <si>
    <t>Pt100 Classe B</t>
  </si>
  <si>
    <t>Diâmetro do Corpo</t>
  </si>
  <si>
    <t>6 mm</t>
  </si>
  <si>
    <t>Comprimento do Corpo</t>
  </si>
  <si>
    <t>50 mm</t>
  </si>
  <si>
    <t>Comprimento do Cabo</t>
  </si>
  <si>
    <t>1,5 metros</t>
  </si>
  <si>
    <t>Material do Corpo</t>
  </si>
  <si>
    <t>Aço Inoxidável</t>
  </si>
  <si>
    <t>Material do Isolador</t>
  </si>
  <si>
    <t>PVC</t>
  </si>
  <si>
    <t>Faixa de Temperatura</t>
  </si>
  <si>
    <t>-10°C a 105°C</t>
  </si>
  <si>
    <t>https://www.youtube.com/watch?v=zf5xxuxZqH8</t>
  </si>
  <si>
    <t>R0=</t>
  </si>
  <si>
    <t>A=</t>
  </si>
  <si>
    <t>B=</t>
  </si>
  <si>
    <t xml:space="preserve">Resistencia Celula </t>
  </si>
  <si>
    <t>Vr=</t>
  </si>
  <si>
    <t xml:space="preserve">Vo condicionado </t>
  </si>
  <si>
    <t>Tensão de Saída do Linearizador vs. Temperatura</t>
  </si>
  <si>
    <t>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</si>
</sst>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/>
    <xf numFmtId="0" fontId="2" fillId="2" borderId="0" xfId="1" applyFill="1" applyAlignment="1">
      <alignment vertical="center"/>
    </xf>
    <xf numFmtId="0" fontId="0" fillId="3" borderId="0" xfId="0" applyFill="1"/>
    <xf numFmtId="164" fontId="0" fillId="3" borderId="0" xfId="0" applyNumberFormat="1" applyFill="1"/>
    <xf numFmtId="0" fontId="0" fillId="2" borderId="5" xfId="0" applyFill="1" applyBorder="1"/>
    <xf numFmtId="0" fontId="0" fillId="2" borderId="7" xfId="0" applyFill="1" applyBorder="1"/>
    <xf numFmtId="0" fontId="2" fillId="2" borderId="8" xfId="1" applyFill="1" applyBorder="1"/>
    <xf numFmtId="164" fontId="0" fillId="2" borderId="6" xfId="0" applyNumberFormat="1" applyFill="1" applyBorder="1"/>
    <xf numFmtId="0" fontId="0" fillId="0" borderId="1" xfId="0" applyBorder="1"/>
    <xf numFmtId="164" fontId="0" fillId="0" borderId="2" xfId="0" applyNumberFormat="1" applyBorder="1"/>
    <xf numFmtId="0" fontId="0" fillId="2" borderId="9" xfId="0" applyFill="1" applyBorder="1"/>
    <xf numFmtId="0" fontId="0" fillId="2" borderId="10" xfId="0" applyFill="1" applyBorder="1"/>
    <xf numFmtId="164" fontId="0" fillId="2" borderId="11" xfId="0" applyNumberFormat="1" applyFill="1" applyBorder="1"/>
    <xf numFmtId="0" fontId="2" fillId="2" borderId="12" xfId="1" applyFill="1" applyBorder="1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3" borderId="0" xfId="1" applyFill="1"/>
    <xf numFmtId="2" fontId="0" fillId="0" borderId="0" xfId="0" applyNumberFormat="1"/>
    <xf numFmtId="0" fontId="0" fillId="0" borderId="0" xfId="0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3" fillId="0" borderId="0" xfId="0" applyFont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Evolução da Tensão Linearizada (</a:t>
            </a:r>
            <a:r>
              <a:rPr lang="pt-PT" sz="1400" b="0" i="0" u="none" strike="noStrike" baseline="0">
                <a:effectLst/>
              </a:rPr>
              <a:t>Vout1</a:t>
            </a:r>
            <a:r>
              <a:rPr lang="pt-PT" sz="1400" b="0" i="0" u="none" strike="noStrike" baseline="0"/>
              <a:t>​) em Função da Temperatura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7174116760029049E-2"/>
          <c:y val="0.16757030336097201"/>
          <c:w val="0.9031380768278473"/>
          <c:h val="0.7703489344933273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Folha1!$A$2:$A$107</c:f>
              <c:strCache>
                <c:ptCount val="106"/>
                <c:pt idx="4">
                  <c:v>Temperatura</c:v>
                </c:pt>
                <c:pt idx="5">
                  <c:v>-20,00</c:v>
                </c:pt>
                <c:pt idx="6">
                  <c:v>-19,00</c:v>
                </c:pt>
                <c:pt idx="7">
                  <c:v>-18,00</c:v>
                </c:pt>
                <c:pt idx="8">
                  <c:v>-17,00</c:v>
                </c:pt>
                <c:pt idx="9">
                  <c:v>-16,00</c:v>
                </c:pt>
                <c:pt idx="10">
                  <c:v>-15,00</c:v>
                </c:pt>
                <c:pt idx="11">
                  <c:v>-14,00</c:v>
                </c:pt>
                <c:pt idx="12">
                  <c:v>-13,00</c:v>
                </c:pt>
                <c:pt idx="13">
                  <c:v>-12,00</c:v>
                </c:pt>
                <c:pt idx="14">
                  <c:v>-11,00</c:v>
                </c:pt>
                <c:pt idx="15">
                  <c:v>-10,00</c:v>
                </c:pt>
                <c:pt idx="16">
                  <c:v>-9,00</c:v>
                </c:pt>
                <c:pt idx="17">
                  <c:v>-8,00</c:v>
                </c:pt>
                <c:pt idx="18">
                  <c:v>-7,00</c:v>
                </c:pt>
                <c:pt idx="19">
                  <c:v>-6,00</c:v>
                </c:pt>
                <c:pt idx="20">
                  <c:v>-5,00</c:v>
                </c:pt>
                <c:pt idx="21">
                  <c:v>-4,00</c:v>
                </c:pt>
                <c:pt idx="22">
                  <c:v>-3,00</c:v>
                </c:pt>
                <c:pt idx="23">
                  <c:v>-2,00</c:v>
                </c:pt>
                <c:pt idx="24">
                  <c:v>-1,00</c:v>
                </c:pt>
                <c:pt idx="25">
                  <c:v>0,00</c:v>
                </c:pt>
                <c:pt idx="26">
                  <c:v>1,00</c:v>
                </c:pt>
                <c:pt idx="27">
                  <c:v>2,00</c:v>
                </c:pt>
                <c:pt idx="28">
                  <c:v>3,00</c:v>
                </c:pt>
                <c:pt idx="29">
                  <c:v>4,00</c:v>
                </c:pt>
                <c:pt idx="30">
                  <c:v>5,00</c:v>
                </c:pt>
                <c:pt idx="31">
                  <c:v>6,00</c:v>
                </c:pt>
                <c:pt idx="32">
                  <c:v>7,00</c:v>
                </c:pt>
                <c:pt idx="33">
                  <c:v>8,00</c:v>
                </c:pt>
                <c:pt idx="34">
                  <c:v>9,00</c:v>
                </c:pt>
                <c:pt idx="35">
                  <c:v>10,00</c:v>
                </c:pt>
                <c:pt idx="36">
                  <c:v>11,00</c:v>
                </c:pt>
                <c:pt idx="37">
                  <c:v>12,00</c:v>
                </c:pt>
                <c:pt idx="38">
                  <c:v>13,00</c:v>
                </c:pt>
                <c:pt idx="39">
                  <c:v>14,00</c:v>
                </c:pt>
                <c:pt idx="40">
                  <c:v>15,00</c:v>
                </c:pt>
                <c:pt idx="41">
                  <c:v>16,00</c:v>
                </c:pt>
                <c:pt idx="42">
                  <c:v>17,00</c:v>
                </c:pt>
                <c:pt idx="43">
                  <c:v>18,00</c:v>
                </c:pt>
                <c:pt idx="44">
                  <c:v>19,00</c:v>
                </c:pt>
                <c:pt idx="45">
                  <c:v>20,00</c:v>
                </c:pt>
                <c:pt idx="46">
                  <c:v>21,00</c:v>
                </c:pt>
                <c:pt idx="47">
                  <c:v>22,00</c:v>
                </c:pt>
                <c:pt idx="48">
                  <c:v>23,00</c:v>
                </c:pt>
                <c:pt idx="49">
                  <c:v>24,00</c:v>
                </c:pt>
                <c:pt idx="50">
                  <c:v>25,00</c:v>
                </c:pt>
                <c:pt idx="51">
                  <c:v>26,00</c:v>
                </c:pt>
                <c:pt idx="52">
                  <c:v>27,00</c:v>
                </c:pt>
                <c:pt idx="53">
                  <c:v>28,00</c:v>
                </c:pt>
                <c:pt idx="54">
                  <c:v>29,00</c:v>
                </c:pt>
                <c:pt idx="55">
                  <c:v>30,00</c:v>
                </c:pt>
                <c:pt idx="56">
                  <c:v>31,00</c:v>
                </c:pt>
                <c:pt idx="57">
                  <c:v>32,00</c:v>
                </c:pt>
                <c:pt idx="58">
                  <c:v>33,00</c:v>
                </c:pt>
                <c:pt idx="59">
                  <c:v>34,00</c:v>
                </c:pt>
                <c:pt idx="60">
                  <c:v>35,00</c:v>
                </c:pt>
                <c:pt idx="61">
                  <c:v>36,00</c:v>
                </c:pt>
                <c:pt idx="62">
                  <c:v>37,00</c:v>
                </c:pt>
                <c:pt idx="63">
                  <c:v>38,00</c:v>
                </c:pt>
                <c:pt idx="64">
                  <c:v>39,00</c:v>
                </c:pt>
                <c:pt idx="65">
                  <c:v>40,00</c:v>
                </c:pt>
                <c:pt idx="66">
                  <c:v>41,00</c:v>
                </c:pt>
                <c:pt idx="67">
                  <c:v>42,00</c:v>
                </c:pt>
                <c:pt idx="68">
                  <c:v>43,00</c:v>
                </c:pt>
                <c:pt idx="69">
                  <c:v>44,00</c:v>
                </c:pt>
                <c:pt idx="70">
                  <c:v>45,00</c:v>
                </c:pt>
                <c:pt idx="71">
                  <c:v>46,00</c:v>
                </c:pt>
                <c:pt idx="72">
                  <c:v>47,00</c:v>
                </c:pt>
                <c:pt idx="73">
                  <c:v>48,00</c:v>
                </c:pt>
                <c:pt idx="74">
                  <c:v>49,00</c:v>
                </c:pt>
                <c:pt idx="75">
                  <c:v>50,00</c:v>
                </c:pt>
                <c:pt idx="76">
                  <c:v>51,00</c:v>
                </c:pt>
                <c:pt idx="77">
                  <c:v>52,00</c:v>
                </c:pt>
                <c:pt idx="78">
                  <c:v>53,00</c:v>
                </c:pt>
                <c:pt idx="79">
                  <c:v>54,00</c:v>
                </c:pt>
                <c:pt idx="80">
                  <c:v>55,00</c:v>
                </c:pt>
                <c:pt idx="81">
                  <c:v>56,00</c:v>
                </c:pt>
                <c:pt idx="82">
                  <c:v>57,00</c:v>
                </c:pt>
                <c:pt idx="83">
                  <c:v>58,00</c:v>
                </c:pt>
                <c:pt idx="84">
                  <c:v>59,00</c:v>
                </c:pt>
                <c:pt idx="85">
                  <c:v>60,00</c:v>
                </c:pt>
                <c:pt idx="86">
                  <c:v>61,00</c:v>
                </c:pt>
                <c:pt idx="87">
                  <c:v>62,00</c:v>
                </c:pt>
                <c:pt idx="88">
                  <c:v>63,00</c:v>
                </c:pt>
                <c:pt idx="89">
                  <c:v>64,00</c:v>
                </c:pt>
                <c:pt idx="90">
                  <c:v>65,00</c:v>
                </c:pt>
                <c:pt idx="91">
                  <c:v>66,00</c:v>
                </c:pt>
                <c:pt idx="92">
                  <c:v>67,00</c:v>
                </c:pt>
                <c:pt idx="93">
                  <c:v>68,00</c:v>
                </c:pt>
                <c:pt idx="94">
                  <c:v>69,00</c:v>
                </c:pt>
                <c:pt idx="95">
                  <c:v>70,00</c:v>
                </c:pt>
                <c:pt idx="96">
                  <c:v>71,00</c:v>
                </c:pt>
                <c:pt idx="97">
                  <c:v>72,00</c:v>
                </c:pt>
                <c:pt idx="98">
                  <c:v>73,00</c:v>
                </c:pt>
                <c:pt idx="99">
                  <c:v>74,00</c:v>
                </c:pt>
                <c:pt idx="100">
                  <c:v>75,00</c:v>
                </c:pt>
                <c:pt idx="101">
                  <c:v>76,00</c:v>
                </c:pt>
                <c:pt idx="102">
                  <c:v>77,00</c:v>
                </c:pt>
                <c:pt idx="103">
                  <c:v>78,00</c:v>
                </c:pt>
                <c:pt idx="104">
                  <c:v>79,00</c:v>
                </c:pt>
                <c:pt idx="105">
                  <c:v>80,00</c:v>
                </c:pt>
              </c:strCache>
            </c:strRef>
          </c:xVal>
          <c:yVal>
            <c:numRef>
              <c:f>Folha1!$C$7:$C$107</c:f>
              <c:numCache>
                <c:formatCode>0.00</c:formatCode>
                <c:ptCount val="101"/>
                <c:pt idx="0">
                  <c:v>0.12935504999999997</c:v>
                </c:pt>
                <c:pt idx="1">
                  <c:v>0.12286919287499998</c:v>
                </c:pt>
                <c:pt idx="2">
                  <c:v>0.11638524150000001</c:v>
                </c:pt>
                <c:pt idx="3">
                  <c:v>0.109903195875</c:v>
                </c:pt>
                <c:pt idx="4">
                  <c:v>0.10342305599999999</c:v>
                </c:pt>
                <c:pt idx="5">
                  <c:v>9.694482187499999E-2</c:v>
                </c:pt>
                <c:pt idx="6">
                  <c:v>9.0468493499999997E-2</c:v>
                </c:pt>
                <c:pt idx="7">
                  <c:v>8.3994070874999993E-2</c:v>
                </c:pt>
                <c:pt idx="8">
                  <c:v>7.7521553999999993E-2</c:v>
                </c:pt>
                <c:pt idx="9">
                  <c:v>7.1050942874999995E-2</c:v>
                </c:pt>
                <c:pt idx="10">
                  <c:v>6.45822375E-2</c:v>
                </c:pt>
                <c:pt idx="11">
                  <c:v>5.8115437874999995E-2</c:v>
                </c:pt>
                <c:pt idx="12">
                  <c:v>5.1650544E-2</c:v>
                </c:pt>
                <c:pt idx="13">
                  <c:v>4.5187555874999993E-2</c:v>
                </c:pt>
                <c:pt idx="14">
                  <c:v>3.8726473499999997E-2</c:v>
                </c:pt>
                <c:pt idx="15">
                  <c:v>3.2267296874999997E-2</c:v>
                </c:pt>
                <c:pt idx="16">
                  <c:v>2.5810026E-2</c:v>
                </c:pt>
                <c:pt idx="17">
                  <c:v>1.9354660874999999E-2</c:v>
                </c:pt>
                <c:pt idx="18">
                  <c:v>1.2901201499999999E-2</c:v>
                </c:pt>
                <c:pt idx="19">
                  <c:v>6.4496478749999989E-3</c:v>
                </c:pt>
                <c:pt idx="20">
                  <c:v>0</c:v>
                </c:pt>
                <c:pt idx="21">
                  <c:v>-6.4477421250000002E-3</c:v>
                </c:pt>
                <c:pt idx="22">
                  <c:v>-1.2893578499999999E-2</c:v>
                </c:pt>
                <c:pt idx="23">
                  <c:v>-1.9337509124999999E-2</c:v>
                </c:pt>
                <c:pt idx="24">
                  <c:v>-2.5779533999999996E-2</c:v>
                </c:pt>
                <c:pt idx="25">
                  <c:v>-3.2219653124999997E-2</c:v>
                </c:pt>
                <c:pt idx="26">
                  <c:v>-3.8657866499999999E-2</c:v>
                </c:pt>
                <c:pt idx="27">
                  <c:v>-4.5094174124999997E-2</c:v>
                </c:pt>
                <c:pt idx="28">
                  <c:v>-5.1528576E-2</c:v>
                </c:pt>
                <c:pt idx="29">
                  <c:v>-5.7961072125000006E-2</c:v>
                </c:pt>
                <c:pt idx="30">
                  <c:v>-6.4391662499999988E-2</c:v>
                </c:pt>
                <c:pt idx="31">
                  <c:v>-7.0820347124999988E-2</c:v>
                </c:pt>
                <c:pt idx="32">
                  <c:v>-7.7247125999999999E-2</c:v>
                </c:pt>
                <c:pt idx="33">
                  <c:v>-8.3671999125000007E-2</c:v>
                </c:pt>
                <c:pt idx="34">
                  <c:v>-9.0094966499999998E-2</c:v>
                </c:pt>
                <c:pt idx="35">
                  <c:v>-9.6516028124999986E-2</c:v>
                </c:pt>
                <c:pt idx="36">
                  <c:v>-0.10293518399999999</c:v>
                </c:pt>
                <c:pt idx="37">
                  <c:v>-0.10935243412499999</c:v>
                </c:pt>
                <c:pt idx="38">
                  <c:v>-0.1157677785</c:v>
                </c:pt>
                <c:pt idx="39">
                  <c:v>-0.12218121712499999</c:v>
                </c:pt>
                <c:pt idx="40">
                  <c:v>-0.12859275000000001</c:v>
                </c:pt>
                <c:pt idx="41">
                  <c:v>-0.13500237712500002</c:v>
                </c:pt>
                <c:pt idx="42">
                  <c:v>-0.1414100985</c:v>
                </c:pt>
                <c:pt idx="43">
                  <c:v>-0.14781591412499998</c:v>
                </c:pt>
                <c:pt idx="44">
                  <c:v>-0.15421982400000001</c:v>
                </c:pt>
                <c:pt idx="45">
                  <c:v>-0.16062182812499998</c:v>
                </c:pt>
                <c:pt idx="46">
                  <c:v>-0.1670219265</c:v>
                </c:pt>
                <c:pt idx="47">
                  <c:v>-0.17342011912499997</c:v>
                </c:pt>
                <c:pt idx="48">
                  <c:v>-0.17981640599999998</c:v>
                </c:pt>
                <c:pt idx="49">
                  <c:v>-0.186210787125</c:v>
                </c:pt>
                <c:pt idx="50">
                  <c:v>-0.19260326249999998</c:v>
                </c:pt>
                <c:pt idx="51">
                  <c:v>-0.19899383212499999</c:v>
                </c:pt>
                <c:pt idx="52">
                  <c:v>-0.205382496</c:v>
                </c:pt>
                <c:pt idx="53">
                  <c:v>-0.211769254125</c:v>
                </c:pt>
                <c:pt idx="54">
                  <c:v>-0.2181541065</c:v>
                </c:pt>
                <c:pt idx="55">
                  <c:v>-0.22453705312500002</c:v>
                </c:pt>
                <c:pt idx="56">
                  <c:v>-0.23091809400000002</c:v>
                </c:pt>
                <c:pt idx="57">
                  <c:v>-0.23729722912499998</c:v>
                </c:pt>
                <c:pt idx="58">
                  <c:v>-0.2436744585</c:v>
                </c:pt>
                <c:pt idx="59">
                  <c:v>-0.25004978212499995</c:v>
                </c:pt>
                <c:pt idx="60">
                  <c:v>-0.25642319999999996</c:v>
                </c:pt>
                <c:pt idx="61">
                  <c:v>-0.262794712125</c:v>
                </c:pt>
                <c:pt idx="62">
                  <c:v>-0.2691643185</c:v>
                </c:pt>
                <c:pt idx="63">
                  <c:v>-0.27553201912500003</c:v>
                </c:pt>
                <c:pt idx="64">
                  <c:v>-0.28189781399999997</c:v>
                </c:pt>
                <c:pt idx="65">
                  <c:v>-0.28826170312499994</c:v>
                </c:pt>
                <c:pt idx="66">
                  <c:v>-0.29462368649999998</c:v>
                </c:pt>
                <c:pt idx="67">
                  <c:v>-0.30098376412499994</c:v>
                </c:pt>
                <c:pt idx="68">
                  <c:v>-0.30734193599999998</c:v>
                </c:pt>
                <c:pt idx="69">
                  <c:v>-0.31369820212499994</c:v>
                </c:pt>
                <c:pt idx="70">
                  <c:v>-0.32005256250000003</c:v>
                </c:pt>
                <c:pt idx="71">
                  <c:v>-0.32640501712499997</c:v>
                </c:pt>
                <c:pt idx="72">
                  <c:v>-0.332755566</c:v>
                </c:pt>
                <c:pt idx="73">
                  <c:v>-0.33910420912499994</c:v>
                </c:pt>
                <c:pt idx="74">
                  <c:v>-0.34545094649999997</c:v>
                </c:pt>
                <c:pt idx="75">
                  <c:v>-0.35179577812500001</c:v>
                </c:pt>
                <c:pt idx="76">
                  <c:v>-0.35813870399999997</c:v>
                </c:pt>
                <c:pt idx="77">
                  <c:v>-0.36447972412499996</c:v>
                </c:pt>
                <c:pt idx="78">
                  <c:v>-0.37081883850000003</c:v>
                </c:pt>
                <c:pt idx="79">
                  <c:v>-0.377156047125</c:v>
                </c:pt>
                <c:pt idx="80">
                  <c:v>-0.38349134999999995</c:v>
                </c:pt>
                <c:pt idx="81">
                  <c:v>-0.38982474712499993</c:v>
                </c:pt>
                <c:pt idx="82">
                  <c:v>-0.39615623849999998</c:v>
                </c:pt>
                <c:pt idx="83">
                  <c:v>-0.40248582412499995</c:v>
                </c:pt>
                <c:pt idx="84">
                  <c:v>-0.40881350399999999</c:v>
                </c:pt>
                <c:pt idx="85">
                  <c:v>-0.41513927812499996</c:v>
                </c:pt>
                <c:pt idx="86">
                  <c:v>-0.42146314649999994</c:v>
                </c:pt>
                <c:pt idx="87">
                  <c:v>-0.42778510912499995</c:v>
                </c:pt>
                <c:pt idx="88">
                  <c:v>-0.43410516600000004</c:v>
                </c:pt>
                <c:pt idx="89">
                  <c:v>-0.44042331712499999</c:v>
                </c:pt>
                <c:pt idx="90">
                  <c:v>-0.44673956249999996</c:v>
                </c:pt>
                <c:pt idx="91">
                  <c:v>-0.45305390212500002</c:v>
                </c:pt>
                <c:pt idx="92">
                  <c:v>-0.45936633599999999</c:v>
                </c:pt>
                <c:pt idx="93">
                  <c:v>-0.46567686412499992</c:v>
                </c:pt>
                <c:pt idx="94">
                  <c:v>-0.47198548649999988</c:v>
                </c:pt>
                <c:pt idx="95">
                  <c:v>-0.47829220312500004</c:v>
                </c:pt>
                <c:pt idx="96">
                  <c:v>-0.48459701399999999</c:v>
                </c:pt>
                <c:pt idx="97">
                  <c:v>-0.49089991912500003</c:v>
                </c:pt>
                <c:pt idx="98">
                  <c:v>-0.49720091849999998</c:v>
                </c:pt>
                <c:pt idx="99">
                  <c:v>-0.50350001212499995</c:v>
                </c:pt>
                <c:pt idx="100">
                  <c:v>-0.50979720000000006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D8-4F5F-89FC-09A545099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422752"/>
        <c:axId val="1208387712"/>
      </c:scatterChart>
      <c:valAx>
        <c:axId val="120842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08387712"/>
        <c:crosses val="autoZero"/>
        <c:crossBetween val="midCat"/>
      </c:valAx>
      <c:valAx>
        <c:axId val="12083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0842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Curva de Transferência do Sistema de Medida (</a:t>
            </a:r>
            <a:r>
              <a:rPr lang="pt-PT" sz="1400" b="0" i="0" u="none" strike="noStrike" baseline="0">
                <a:effectLst/>
              </a:rPr>
              <a:t>Vtemp</a:t>
            </a:r>
            <a:r>
              <a:rPr lang="pt-PT" sz="1400" b="0" i="0" u="none" strike="noStrike" baseline="0"/>
              <a:t>​)</a:t>
            </a:r>
          </a:p>
          <a:p>
            <a:pPr>
              <a:defRPr/>
            </a:pP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Folha1!$A$7:$A$127</c:f>
              <c:numCache>
                <c:formatCode>0.00</c:formatCode>
                <c:ptCount val="121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  <c:pt idx="6">
                  <c:v>-14</c:v>
                </c:pt>
                <c:pt idx="7">
                  <c:v>-13</c:v>
                </c:pt>
                <c:pt idx="8">
                  <c:v>-12</c:v>
                </c:pt>
                <c:pt idx="9">
                  <c:v>-11</c:v>
                </c:pt>
                <c:pt idx="10">
                  <c:v>-10</c:v>
                </c:pt>
                <c:pt idx="11">
                  <c:v>-9</c:v>
                </c:pt>
                <c:pt idx="12">
                  <c:v>-8</c:v>
                </c:pt>
                <c:pt idx="13">
                  <c:v>-7</c:v>
                </c:pt>
                <c:pt idx="14">
                  <c:v>-6</c:v>
                </c:pt>
                <c:pt idx="15">
                  <c:v>-5</c:v>
                </c:pt>
                <c:pt idx="16">
                  <c:v>-4</c:v>
                </c:pt>
                <c:pt idx="17">
                  <c:v>-3</c:v>
                </c:pt>
                <c:pt idx="18">
                  <c:v>-2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11</c:v>
                </c:pt>
                <c:pt idx="32">
                  <c:v>12</c:v>
                </c:pt>
                <c:pt idx="33">
                  <c:v>13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  <c:pt idx="62">
                  <c:v>42</c:v>
                </c:pt>
                <c:pt idx="63">
                  <c:v>43</c:v>
                </c:pt>
                <c:pt idx="64">
                  <c:v>44</c:v>
                </c:pt>
                <c:pt idx="65">
                  <c:v>45</c:v>
                </c:pt>
                <c:pt idx="66">
                  <c:v>46</c:v>
                </c:pt>
                <c:pt idx="67">
                  <c:v>47</c:v>
                </c:pt>
                <c:pt idx="68">
                  <c:v>48</c:v>
                </c:pt>
                <c:pt idx="69">
                  <c:v>49</c:v>
                </c:pt>
                <c:pt idx="70">
                  <c:v>50</c:v>
                </c:pt>
                <c:pt idx="71">
                  <c:v>51</c:v>
                </c:pt>
                <c:pt idx="72">
                  <c:v>52</c:v>
                </c:pt>
                <c:pt idx="73">
                  <c:v>53</c:v>
                </c:pt>
                <c:pt idx="74">
                  <c:v>54</c:v>
                </c:pt>
                <c:pt idx="75">
                  <c:v>55</c:v>
                </c:pt>
                <c:pt idx="76">
                  <c:v>56</c:v>
                </c:pt>
                <c:pt idx="77">
                  <c:v>57</c:v>
                </c:pt>
                <c:pt idx="78">
                  <c:v>58</c:v>
                </c:pt>
                <c:pt idx="79">
                  <c:v>59</c:v>
                </c:pt>
                <c:pt idx="80">
                  <c:v>60</c:v>
                </c:pt>
                <c:pt idx="81">
                  <c:v>61</c:v>
                </c:pt>
                <c:pt idx="82">
                  <c:v>62</c:v>
                </c:pt>
                <c:pt idx="83">
                  <c:v>63</c:v>
                </c:pt>
                <c:pt idx="84">
                  <c:v>64</c:v>
                </c:pt>
                <c:pt idx="85">
                  <c:v>65</c:v>
                </c:pt>
                <c:pt idx="86">
                  <c:v>66</c:v>
                </c:pt>
                <c:pt idx="87">
                  <c:v>67</c:v>
                </c:pt>
                <c:pt idx="88">
                  <c:v>68</c:v>
                </c:pt>
                <c:pt idx="89">
                  <c:v>69</c:v>
                </c:pt>
                <c:pt idx="90">
                  <c:v>70</c:v>
                </c:pt>
                <c:pt idx="91">
                  <c:v>71</c:v>
                </c:pt>
                <c:pt idx="92">
                  <c:v>72</c:v>
                </c:pt>
                <c:pt idx="93">
                  <c:v>73</c:v>
                </c:pt>
                <c:pt idx="94">
                  <c:v>74</c:v>
                </c:pt>
                <c:pt idx="95">
                  <c:v>75</c:v>
                </c:pt>
                <c:pt idx="96">
                  <c:v>76</c:v>
                </c:pt>
                <c:pt idx="97">
                  <c:v>77</c:v>
                </c:pt>
                <c:pt idx="98">
                  <c:v>78</c:v>
                </c:pt>
                <c:pt idx="99">
                  <c:v>79</c:v>
                </c:pt>
                <c:pt idx="100">
                  <c:v>80</c:v>
                </c:pt>
                <c:pt idx="101">
                  <c:v>81</c:v>
                </c:pt>
                <c:pt idx="102">
                  <c:v>82</c:v>
                </c:pt>
                <c:pt idx="103">
                  <c:v>83</c:v>
                </c:pt>
                <c:pt idx="104">
                  <c:v>84</c:v>
                </c:pt>
                <c:pt idx="105">
                  <c:v>85</c:v>
                </c:pt>
                <c:pt idx="106">
                  <c:v>86</c:v>
                </c:pt>
                <c:pt idx="107">
                  <c:v>87</c:v>
                </c:pt>
                <c:pt idx="108">
                  <c:v>88</c:v>
                </c:pt>
                <c:pt idx="109">
                  <c:v>89</c:v>
                </c:pt>
                <c:pt idx="110">
                  <c:v>90</c:v>
                </c:pt>
                <c:pt idx="111">
                  <c:v>91</c:v>
                </c:pt>
                <c:pt idx="112">
                  <c:v>92</c:v>
                </c:pt>
                <c:pt idx="113">
                  <c:v>93</c:v>
                </c:pt>
                <c:pt idx="114">
                  <c:v>94</c:v>
                </c:pt>
                <c:pt idx="115">
                  <c:v>95</c:v>
                </c:pt>
                <c:pt idx="116">
                  <c:v>96</c:v>
                </c:pt>
                <c:pt idx="117">
                  <c:v>97</c:v>
                </c:pt>
                <c:pt idx="118">
                  <c:v>98</c:v>
                </c:pt>
                <c:pt idx="119">
                  <c:v>99</c:v>
                </c:pt>
                <c:pt idx="120">
                  <c:v>100</c:v>
                </c:pt>
              </c:numCache>
            </c:numRef>
          </c:xVal>
          <c:yVal>
            <c:numRef>
              <c:f>Folha1!$D$7:$D$127</c:f>
              <c:numCache>
                <c:formatCode>General</c:formatCode>
                <c:ptCount val="121"/>
                <c:pt idx="0">
                  <c:v>1.1020625000000839E-2</c:v>
                </c:pt>
                <c:pt idx="1">
                  <c:v>3.8045029687500585E-2</c:v>
                </c:pt>
                <c:pt idx="2">
                  <c:v>6.5061493750000199E-2</c:v>
                </c:pt>
                <c:pt idx="3">
                  <c:v>9.2070017187500616E-2</c:v>
                </c:pt>
                <c:pt idx="4">
                  <c:v>0.11907059999999998</c:v>
                </c:pt>
                <c:pt idx="5">
                  <c:v>0.14606324218750014</c:v>
                </c:pt>
                <c:pt idx="6">
                  <c:v>0.17304794375000015</c:v>
                </c:pt>
                <c:pt idx="7">
                  <c:v>0.20002470468750008</c:v>
                </c:pt>
                <c:pt idx="8">
                  <c:v>0.22699352500000078</c:v>
                </c:pt>
                <c:pt idx="9">
                  <c:v>0.25395440468750041</c:v>
                </c:pt>
                <c:pt idx="10">
                  <c:v>0.28090734375000087</c:v>
                </c:pt>
                <c:pt idx="11">
                  <c:v>0.30785234218750024</c:v>
                </c:pt>
                <c:pt idx="12">
                  <c:v>0.3347894000000004</c:v>
                </c:pt>
                <c:pt idx="13">
                  <c:v>0.36171851718750048</c:v>
                </c:pt>
                <c:pt idx="14">
                  <c:v>0.38863969375000135</c:v>
                </c:pt>
                <c:pt idx="15">
                  <c:v>0.41555292968750113</c:v>
                </c:pt>
                <c:pt idx="16">
                  <c:v>0.44245822499999987</c:v>
                </c:pt>
                <c:pt idx="17">
                  <c:v>0.46935557968750036</c:v>
                </c:pt>
                <c:pt idx="18">
                  <c:v>0.49624499375000164</c:v>
                </c:pt>
                <c:pt idx="19">
                  <c:v>0.5231264671875</c:v>
                </c:pt>
                <c:pt idx="20">
                  <c:v>0.55000000000000004</c:v>
                </c:pt>
                <c:pt idx="21">
                  <c:v>0.5768655921875</c:v>
                </c:pt>
                <c:pt idx="22">
                  <c:v>0.60372324375000075</c:v>
                </c:pt>
                <c:pt idx="23">
                  <c:v>0.63057295468750052</c:v>
                </c:pt>
                <c:pt idx="24">
                  <c:v>0.65741472500000009</c:v>
                </c:pt>
                <c:pt idx="25">
                  <c:v>0.68424855468750134</c:v>
                </c:pt>
                <c:pt idx="26">
                  <c:v>0.71107444375000062</c:v>
                </c:pt>
                <c:pt idx="27">
                  <c:v>0.7378923921874998</c:v>
                </c:pt>
                <c:pt idx="28">
                  <c:v>0.76470239999999889</c:v>
                </c:pt>
                <c:pt idx="29">
                  <c:v>0.79150446718750056</c:v>
                </c:pt>
                <c:pt idx="30">
                  <c:v>0.81829859374999936</c:v>
                </c:pt>
                <c:pt idx="31">
                  <c:v>0.84508477968749895</c:v>
                </c:pt>
                <c:pt idx="32">
                  <c:v>0.87186302500000123</c:v>
                </c:pt>
                <c:pt idx="33">
                  <c:v>0.89863332968749965</c:v>
                </c:pt>
                <c:pt idx="34">
                  <c:v>0.92539569375000075</c:v>
                </c:pt>
                <c:pt idx="35">
                  <c:v>0.95215011718750253</c:v>
                </c:pt>
                <c:pt idx="36">
                  <c:v>0.97889660000000056</c:v>
                </c:pt>
                <c:pt idx="37">
                  <c:v>1.0056351421875003</c:v>
                </c:pt>
                <c:pt idx="38">
                  <c:v>1.03236574375</c:v>
                </c:pt>
                <c:pt idx="39">
                  <c:v>1.0590884046875004</c:v>
                </c:pt>
                <c:pt idx="40">
                  <c:v>1.0858031249999998</c:v>
                </c:pt>
                <c:pt idx="41">
                  <c:v>1.1125099046875</c:v>
                </c:pt>
                <c:pt idx="42">
                  <c:v>1.13920874375</c:v>
                </c:pt>
                <c:pt idx="43">
                  <c:v>1.1658996421874999</c:v>
                </c:pt>
                <c:pt idx="44">
                  <c:v>1.1925826000000006</c:v>
                </c:pt>
                <c:pt idx="45">
                  <c:v>1.2192576171875011</c:v>
                </c:pt>
                <c:pt idx="46">
                  <c:v>1.2459246937500006</c:v>
                </c:pt>
                <c:pt idx="47">
                  <c:v>1.2725838296875001</c:v>
                </c:pt>
                <c:pt idx="48">
                  <c:v>1.2992350250000002</c:v>
                </c:pt>
                <c:pt idx="49">
                  <c:v>1.3258782796874995</c:v>
                </c:pt>
                <c:pt idx="50">
                  <c:v>1.3525135937499995</c:v>
                </c:pt>
                <c:pt idx="51">
                  <c:v>1.3791409671875001</c:v>
                </c:pt>
                <c:pt idx="52">
                  <c:v>1.4057604000000008</c:v>
                </c:pt>
                <c:pt idx="53">
                  <c:v>1.4323718921875022</c:v>
                </c:pt>
                <c:pt idx="54">
                  <c:v>1.4589754437500015</c:v>
                </c:pt>
                <c:pt idx="55">
                  <c:v>1.4855710546875007</c:v>
                </c:pt>
                <c:pt idx="56">
                  <c:v>1.5121587250000008</c:v>
                </c:pt>
                <c:pt idx="57">
                  <c:v>1.5387384546875009</c:v>
                </c:pt>
                <c:pt idx="58">
                  <c:v>1.5653102437499997</c:v>
                </c:pt>
                <c:pt idx="59">
                  <c:v>1.5918740921874994</c:v>
                </c:pt>
                <c:pt idx="60">
                  <c:v>1.61843</c:v>
                </c:pt>
                <c:pt idx="61">
                  <c:v>1.6449779671874984</c:v>
                </c:pt>
                <c:pt idx="62">
                  <c:v>1.6715179937499998</c:v>
                </c:pt>
                <c:pt idx="63">
                  <c:v>1.6980500796875015</c:v>
                </c:pt>
                <c:pt idx="64">
                  <c:v>1.7245742250000007</c:v>
                </c:pt>
                <c:pt idx="65">
                  <c:v>1.7510904296875005</c:v>
                </c:pt>
                <c:pt idx="66">
                  <c:v>1.7775986937500021</c:v>
                </c:pt>
                <c:pt idx="67">
                  <c:v>1.8040990171875009</c:v>
                </c:pt>
                <c:pt idx="68">
                  <c:v>1.8305914000000003</c:v>
                </c:pt>
                <c:pt idx="69">
                  <c:v>1.8570758421875007</c:v>
                </c:pt>
                <c:pt idx="70">
                  <c:v>1.8835523437500008</c:v>
                </c:pt>
                <c:pt idx="71">
                  <c:v>1.9100209046875007</c:v>
                </c:pt>
                <c:pt idx="72">
                  <c:v>1.9364815250000007</c:v>
                </c:pt>
                <c:pt idx="73">
                  <c:v>1.9629342046875005</c:v>
                </c:pt>
                <c:pt idx="74">
                  <c:v>1.98937894375</c:v>
                </c:pt>
                <c:pt idx="75">
                  <c:v>2.0158157421875003</c:v>
                </c:pt>
                <c:pt idx="76">
                  <c:v>2.0422445999999996</c:v>
                </c:pt>
                <c:pt idx="77">
                  <c:v>2.0686655171874992</c:v>
                </c:pt>
                <c:pt idx="78">
                  <c:v>2.09507849375</c:v>
                </c:pt>
                <c:pt idx="79">
                  <c:v>2.121483529687501</c:v>
                </c:pt>
                <c:pt idx="80">
                  <c:v>2.1478806249999995</c:v>
                </c:pt>
                <c:pt idx="81">
                  <c:v>2.1742697796875001</c:v>
                </c:pt>
                <c:pt idx="82">
                  <c:v>2.2006509937500009</c:v>
                </c:pt>
                <c:pt idx="83">
                  <c:v>2.2270242671875011</c:v>
                </c:pt>
                <c:pt idx="84">
                  <c:v>2.2533896000000011</c:v>
                </c:pt>
                <c:pt idx="85">
                  <c:v>2.2797469921875013</c:v>
                </c:pt>
                <c:pt idx="86">
                  <c:v>2.3060964437499996</c:v>
                </c:pt>
                <c:pt idx="87">
                  <c:v>2.3324379546874994</c:v>
                </c:pt>
                <c:pt idx="88">
                  <c:v>2.3587715250000008</c:v>
                </c:pt>
                <c:pt idx="89">
                  <c:v>2.3850971546875006</c:v>
                </c:pt>
                <c:pt idx="90">
                  <c:v>2.4114148437499998</c:v>
                </c:pt>
                <c:pt idx="91">
                  <c:v>2.437724592187501</c:v>
                </c:pt>
                <c:pt idx="92">
                  <c:v>2.4640264000000003</c:v>
                </c:pt>
                <c:pt idx="93">
                  <c:v>2.4903202671874993</c:v>
                </c:pt>
                <c:pt idx="94">
                  <c:v>2.5166061937499999</c:v>
                </c:pt>
                <c:pt idx="95">
                  <c:v>2.5428841796875008</c:v>
                </c:pt>
                <c:pt idx="96">
                  <c:v>2.569154225000001</c:v>
                </c:pt>
                <c:pt idx="97">
                  <c:v>2.5954163296874997</c:v>
                </c:pt>
                <c:pt idx="98">
                  <c:v>2.6216704937499999</c:v>
                </c:pt>
                <c:pt idx="99">
                  <c:v>2.6479167171875</c:v>
                </c:pt>
                <c:pt idx="100">
                  <c:v>2.6741550000000021</c:v>
                </c:pt>
                <c:pt idx="101">
                  <c:v>2.7003853421875017</c:v>
                </c:pt>
                <c:pt idx="102">
                  <c:v>2.7266077437499998</c:v>
                </c:pt>
                <c:pt idx="103">
                  <c:v>2.7528222046874991</c:v>
                </c:pt>
                <c:pt idx="104">
                  <c:v>2.7790287250000008</c:v>
                </c:pt>
                <c:pt idx="105">
                  <c:v>2.8052273046875</c:v>
                </c:pt>
                <c:pt idx="106">
                  <c:v>2.8314179437500009</c:v>
                </c:pt>
                <c:pt idx="107">
                  <c:v>2.857600642187502</c:v>
                </c:pt>
                <c:pt idx="108">
                  <c:v>2.8837754000000011</c:v>
                </c:pt>
                <c:pt idx="109">
                  <c:v>2.9099422171875018</c:v>
                </c:pt>
                <c:pt idx="110">
                  <c:v>2.9361010937500005</c:v>
                </c:pt>
                <c:pt idx="111">
                  <c:v>2.9622520296875008</c:v>
                </c:pt>
                <c:pt idx="112">
                  <c:v>2.9883950249999991</c:v>
                </c:pt>
                <c:pt idx="113">
                  <c:v>3.0145300796875012</c:v>
                </c:pt>
                <c:pt idx="114">
                  <c:v>3.0406571937499995</c:v>
                </c:pt>
                <c:pt idx="115">
                  <c:v>3.0667763671874995</c:v>
                </c:pt>
                <c:pt idx="116">
                  <c:v>3.092887600000001</c:v>
                </c:pt>
                <c:pt idx="117">
                  <c:v>3.1189908921875005</c:v>
                </c:pt>
                <c:pt idx="118">
                  <c:v>3.145086243750002</c:v>
                </c:pt>
                <c:pt idx="119">
                  <c:v>3.1711736546875016</c:v>
                </c:pt>
                <c:pt idx="120">
                  <c:v>3.1972531249999987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5-4F56-B485-687BFD339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036351"/>
        <c:axId val="1322054111"/>
      </c:scatterChart>
      <c:valAx>
        <c:axId val="132203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22054111"/>
        <c:crosses val="autoZero"/>
        <c:crossBetween val="midCat"/>
      </c:valAx>
      <c:valAx>
        <c:axId val="132205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2203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542925</xdr:colOff>
      <xdr:row>1</xdr:row>
      <xdr:rowOff>57150</xdr:rowOff>
    </xdr:from>
    <xdr:to>
      <xdr:col>10</xdr:col>
      <xdr:colOff>143751</xdr:colOff>
      <xdr:row>22</xdr:row>
      <xdr:rowOff>557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4CCC2B-DF04-4BF9-947D-4F598086F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025" y="247650"/>
          <a:ext cx="6277851" cy="3991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581742</xdr:colOff>
      <xdr:row>5</xdr:row>
      <xdr:rowOff>113481</xdr:rowOff>
    </xdr:from>
    <xdr:to>
      <xdr:col>16</xdr:col>
      <xdr:colOff>113167</xdr:colOff>
      <xdr:row>23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B5B20CA-06E7-0C5B-DEC1-438B0BC8E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358367</xdr:colOff>
      <xdr:row>8</xdr:row>
      <xdr:rowOff>47153</xdr:rowOff>
    </xdr:from>
    <xdr:to>
      <xdr:col>25</xdr:col>
      <xdr:colOff>233315</xdr:colOff>
      <xdr:row>10</xdr:row>
      <xdr:rowOff>136715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020BB92-BD2B-096C-1093-755236C2C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0248" y="1556064"/>
          <a:ext cx="5391902" cy="466790"/>
        </a:xfrm>
        <a:prstGeom prst="rect">
          <a:avLst/>
        </a:prstGeom>
      </xdr:spPr>
    </xdr:pic>
    <xdr:clientData/>
  </xdr:twoCellAnchor>
  <xdr:twoCellAnchor>
    <xdr:from>
      <xdr:col>5</xdr:col>
      <xdr:colOff>251026</xdr:colOff>
      <xdr:row>25</xdr:row>
      <xdr:rowOff>555</xdr:rowOff>
    </xdr:from>
    <xdr:to>
      <xdr:col>18</xdr:col>
      <xdr:colOff>491613</xdr:colOff>
      <xdr:row>51</xdr:row>
      <xdr:rowOff>122903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B890E0-0763-5F1B-45D7-6F4361A8F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dro Cardoso (1210717)" id="{74BB8B74-5139-4204-8B06-6E09ABE02532}" userId="S::1210717@isep.ipp.pt::e4f52ad7-3b0f-48cd-99eb-4a64d4a4023a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03-25T18:43:48.82" personId="{74BB8B74-5139-4204-8B06-6E09ABE02532}" id="{2ABE4191-7037-4120-8106-AC059C41804B}">
    <text xml:space="preserve">Nota: Usei uma fonte de 50W devido ao alto consumo da célula, a segunda fonte usada para gerar -12, segundo o esquema de ligação não precisa de tanta potencia útil 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ldatasheet.com/datasheet-pdf/download/739974/HB/TEC1-12703.html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www.jcce.eu/pt/index.php?controller=attachment&amp;id_attachment=957" TargetMode="External"/><Relationship Id="rId7" Type="http://schemas.openxmlformats.org/officeDocument/2006/relationships/hyperlink" Target="https://www.jcce.eu/pt/modulos-peltier/8471-tec1-12703?search_query=peltier&amp;results=13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jcce.eu/pt/caixa/4922-rs-15-12" TargetMode="External"/><Relationship Id="rId1" Type="http://schemas.openxmlformats.org/officeDocument/2006/relationships/hyperlink" Target="https://www.jcce.eu/pt/caixa/4933-rs-50-12" TargetMode="External"/><Relationship Id="rId6" Type="http://schemas.openxmlformats.org/officeDocument/2006/relationships/hyperlink" Target="https://www.guenther.eu/44e63d4a-9ea2-2134-1dbd-a9418adf1e3e/GUENTHER_Datenblatt_Produktgruppe_7X_KFT_KFW_E.pdf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jcce.eu/pt/instrumentacao-diversa/9285-72-11301001-01500050jjtm?search_query=pt100&amp;results=2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jcce.eu/pt/index.php?controller=attachment&amp;id_attachment=950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AED6-F960-4587-93F7-51E7F47E641D}">
  <dimension ref="A1:H22"/>
  <sheetViews>
    <sheetView workbookViewId="0">
      <selection activeCell="B11" sqref="B11"/>
    </sheetView>
  </sheetViews>
  <sheetFormatPr defaultRowHeight="15"/>
  <cols>
    <col min="1" max="1" width="25.7109375" bestFit="1" customWidth="1"/>
    <col min="2" max="2" width="26.140625" bestFit="1" customWidth="1"/>
    <col min="3" max="3" width="8.85546875" style="1"/>
    <col min="5" max="5" width="9.5703125" bestFit="1" customWidth="1"/>
    <col min="8" max="8" width="81.85546875" customWidth="1"/>
  </cols>
  <sheetData>
    <row r="1" spans="1:8">
      <c r="A1" s="27" t="s">
        <v>0</v>
      </c>
      <c r="B1" s="27"/>
    </row>
    <row r="2" spans="1:8" ht="15.75" thickBot="1"/>
    <row r="3" spans="1:8" ht="15.75" thickBot="1">
      <c r="A3" s="28" t="s">
        <v>1</v>
      </c>
      <c r="B3" s="29"/>
      <c r="C3" s="29"/>
      <c r="D3" s="30"/>
      <c r="E3" s="3"/>
    </row>
    <row r="4" spans="1:8">
      <c r="A4" s="13" t="s">
        <v>2</v>
      </c>
      <c r="B4" s="14" t="s">
        <v>3</v>
      </c>
      <c r="C4" s="15">
        <v>16</v>
      </c>
      <c r="D4" s="16" t="s">
        <v>4</v>
      </c>
      <c r="E4" s="4" t="s">
        <v>5</v>
      </c>
      <c r="F4" s="2"/>
      <c r="G4" s="2"/>
      <c r="H4" s="2"/>
    </row>
    <row r="5" spans="1:8" ht="15.75" thickBot="1">
      <c r="A5" s="8" t="s">
        <v>6</v>
      </c>
      <c r="B5" s="7" t="s">
        <v>7</v>
      </c>
      <c r="C5" s="10">
        <v>11.8</v>
      </c>
      <c r="D5" s="9" t="s">
        <v>8</v>
      </c>
      <c r="E5" s="4" t="s">
        <v>5</v>
      </c>
      <c r="F5" s="2"/>
      <c r="G5" s="2"/>
      <c r="H5" s="2"/>
    </row>
    <row r="6" spans="1:8" ht="15.75" thickBot="1">
      <c r="B6" s="11" t="s">
        <v>9</v>
      </c>
      <c r="C6" s="12">
        <f>SUM(C4:C5)</f>
        <v>27.8</v>
      </c>
    </row>
    <row r="8" spans="1:8">
      <c r="A8" s="5" t="s">
        <v>10</v>
      </c>
      <c r="B8" s="5"/>
      <c r="C8" s="6"/>
      <c r="D8" s="5"/>
      <c r="E8" s="5"/>
    </row>
    <row r="9" spans="1:8">
      <c r="A9" s="5" t="s">
        <v>11</v>
      </c>
      <c r="B9" s="5"/>
      <c r="C9" s="6"/>
      <c r="D9" s="5"/>
      <c r="E9" s="5"/>
    </row>
    <row r="10" spans="1:8">
      <c r="A10" s="5" t="s">
        <v>12</v>
      </c>
      <c r="B10" s="5" t="s">
        <v>13</v>
      </c>
      <c r="C10" s="6">
        <v>16</v>
      </c>
      <c r="D10" s="25" t="s">
        <v>4</v>
      </c>
      <c r="E10" s="25" t="s">
        <v>5</v>
      </c>
    </row>
    <row r="11" spans="1:8">
      <c r="A11" s="5" t="s">
        <v>14</v>
      </c>
      <c r="B11" s="5" t="s">
        <v>15</v>
      </c>
      <c r="C11" s="6">
        <v>19.2</v>
      </c>
      <c r="D11" s="25" t="s">
        <v>4</v>
      </c>
      <c r="E11" s="25" t="s">
        <v>16</v>
      </c>
    </row>
    <row r="12" spans="1:8">
      <c r="A12" s="5"/>
      <c r="B12" s="5"/>
      <c r="C12" s="6"/>
      <c r="D12" s="5"/>
      <c r="E12" s="5"/>
    </row>
    <row r="22" spans="2:3" ht="15.75" thickBot="1">
      <c r="B22" s="11" t="s">
        <v>9</v>
      </c>
      <c r="C22" s="12">
        <f>SUM(C1:C21)</f>
        <v>90.8</v>
      </c>
    </row>
  </sheetData>
  <mergeCells count="2">
    <mergeCell ref="A1:B1"/>
    <mergeCell ref="A3:D3"/>
  </mergeCells>
  <hyperlinks>
    <hyperlink ref="D4" r:id="rId1" xr:uid="{360E2652-F8ED-4940-AB0A-2D100273DAAA}"/>
    <hyperlink ref="D5" r:id="rId2" xr:uid="{9520F666-A12B-47DF-91B3-F500A19F5129}"/>
    <hyperlink ref="E4" r:id="rId3" xr:uid="{0B2EC8C9-68A6-4E82-B0B0-FD92C18F9FC1}"/>
    <hyperlink ref="E5" r:id="rId4" xr:uid="{1216B1E6-886B-4594-B78C-14506F798301}"/>
    <hyperlink ref="D10" r:id="rId5" xr:uid="{11A6D4E3-1384-4CB6-90AB-2368827AAB62}"/>
    <hyperlink ref="E10" r:id="rId6" xr:uid="{2E6A702D-AF5E-4481-A6DA-44A23E890BDB}"/>
    <hyperlink ref="D11" r:id="rId7" xr:uid="{42269A6B-2A3B-4C15-87F1-850128795F34}"/>
    <hyperlink ref="E11" r:id="rId8" xr:uid="{CD20B5D8-C7BF-424B-8450-0DBEBC047A6D}"/>
  </hyperlinks>
  <pageMargins left="0.7" right="0.7" top="0.75" bottom="0.75" header="0.3" footer="0.3"/>
  <pageSetup paperSize="9" orientation="portrait" r:id="rId9"/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BD2C-EF77-4253-97E9-F186A867A0CE}">
  <dimension ref="A2:H12"/>
  <sheetViews>
    <sheetView workbookViewId="0">
      <selection activeCell="H4" sqref="H4"/>
    </sheetView>
  </sheetViews>
  <sheetFormatPr defaultRowHeight="15"/>
  <cols>
    <col min="4" max="4" width="20.5703125" bestFit="1" customWidth="1"/>
    <col min="5" max="5" width="26.140625" bestFit="1" customWidth="1"/>
  </cols>
  <sheetData>
    <row r="2" spans="1:8">
      <c r="A2" t="s">
        <v>12</v>
      </c>
    </row>
    <row r="3" spans="1:8" ht="15.75" thickBot="1"/>
    <row r="4" spans="1:8" ht="15.75" thickBot="1">
      <c r="D4" s="17" t="s">
        <v>17</v>
      </c>
      <c r="E4" s="18" t="s">
        <v>18</v>
      </c>
      <c r="H4" t="s">
        <v>19</v>
      </c>
    </row>
    <row r="5" spans="1:8" ht="30">
      <c r="D5" s="19" t="s">
        <v>20</v>
      </c>
      <c r="E5" s="20" t="s">
        <v>13</v>
      </c>
    </row>
    <row r="6" spans="1:8">
      <c r="D6" s="21" t="s">
        <v>21</v>
      </c>
      <c r="E6" s="22" t="s">
        <v>22</v>
      </c>
    </row>
    <row r="7" spans="1:8">
      <c r="D7" s="21" t="s">
        <v>23</v>
      </c>
      <c r="E7" s="22" t="s">
        <v>24</v>
      </c>
    </row>
    <row r="8" spans="1:8" ht="30">
      <c r="D8" s="21" t="s">
        <v>25</v>
      </c>
      <c r="E8" s="22" t="s">
        <v>26</v>
      </c>
    </row>
    <row r="9" spans="1:8" ht="30">
      <c r="D9" s="21" t="s">
        <v>27</v>
      </c>
      <c r="E9" s="22" t="s">
        <v>28</v>
      </c>
    </row>
    <row r="10" spans="1:8">
      <c r="D10" s="21" t="s">
        <v>29</v>
      </c>
      <c r="E10" s="22" t="s">
        <v>30</v>
      </c>
    </row>
    <row r="11" spans="1:8">
      <c r="D11" s="21" t="s">
        <v>31</v>
      </c>
      <c r="E11" s="22" t="s">
        <v>32</v>
      </c>
    </row>
    <row r="12" spans="1:8" ht="15.75" thickBot="1">
      <c r="D12" s="23" t="s">
        <v>33</v>
      </c>
      <c r="E12" s="2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B8B1-99B5-4A6C-9DF6-4AC183AB50E6}">
  <dimension ref="A2:H127"/>
  <sheetViews>
    <sheetView tabSelected="1" topLeftCell="B1" zoomScale="98" workbookViewId="0">
      <selection activeCell="R22" sqref="R22"/>
    </sheetView>
  </sheetViews>
  <sheetFormatPr defaultRowHeight="15"/>
  <cols>
    <col min="1" max="1" width="13.85546875" bestFit="1" customWidth="1"/>
    <col min="2" max="2" width="20.140625" bestFit="1" customWidth="1"/>
    <col min="3" max="3" width="50.5703125" bestFit="1" customWidth="1"/>
    <col min="4" max="4" width="18.5703125" customWidth="1"/>
    <col min="5" max="5" width="9.140625" customWidth="1"/>
    <col min="8" max="8" width="10.7109375" bestFit="1" customWidth="1"/>
    <col min="13" max="13" width="10.85546875" customWidth="1"/>
  </cols>
  <sheetData>
    <row r="2" spans="1:8">
      <c r="G2" t="s">
        <v>36</v>
      </c>
      <c r="H2">
        <v>1000</v>
      </c>
    </row>
    <row r="3" spans="1:8">
      <c r="G3" t="s">
        <v>40</v>
      </c>
      <c r="H3">
        <v>3.3</v>
      </c>
    </row>
    <row r="4" spans="1:8">
      <c r="G4" t="s">
        <v>37</v>
      </c>
      <c r="H4">
        <f>3.9083*10^(-3)</f>
        <v>3.9083E-3</v>
      </c>
    </row>
    <row r="5" spans="1:8">
      <c r="G5" t="s">
        <v>38</v>
      </c>
      <c r="H5">
        <f>-5.775*10^(-7)</f>
        <v>-5.7749999999999998E-7</v>
      </c>
    </row>
    <row r="6" spans="1:8">
      <c r="A6" t="s">
        <v>43</v>
      </c>
      <c r="B6" t="s">
        <v>39</v>
      </c>
      <c r="C6" t="s">
        <v>42</v>
      </c>
      <c r="D6" t="s">
        <v>41</v>
      </c>
    </row>
    <row r="7" spans="1:8">
      <c r="A7" s="26">
        <v>-20</v>
      </c>
      <c r="B7" s="26">
        <f>$H$2*(1+$H$4*A7+$H$5*A7^2)</f>
        <v>921.60300000000007</v>
      </c>
      <c r="C7" s="26">
        <f>($H$3/-2)*($H$4*A7+$H$5*A7^2)</f>
        <v>0.12935504999999997</v>
      </c>
      <c r="D7" s="31">
        <f>(10/2.4) * ( 0.132 - ( 1.65 - 0.00165 * B7 ) )</f>
        <v>1.1020625000000839E-2</v>
      </c>
    </row>
    <row r="8" spans="1:8">
      <c r="A8" s="26">
        <v>-19</v>
      </c>
      <c r="B8" s="26">
        <f>$H$2*(1+$H$4*A8+$H$5*A8^2)</f>
        <v>925.53382250000004</v>
      </c>
      <c r="C8" s="26">
        <f>($H$3/-2)*($H$4*A8+$H$5*A8^2)</f>
        <v>0.12286919287499998</v>
      </c>
      <c r="D8" s="31">
        <f t="shared" ref="D8:D71" si="0">(10/2.4) * ( 0.132 - ( 1.65 - 0.00165 * B8 ) )</f>
        <v>3.8045029687500585E-2</v>
      </c>
    </row>
    <row r="9" spans="1:8">
      <c r="A9" s="26">
        <v>-18</v>
      </c>
      <c r="B9" s="26">
        <f>$H$2*(1+$H$4*A9+$H$5*A9^2)</f>
        <v>929.46348999999998</v>
      </c>
      <c r="C9" s="26">
        <f>($H$3/-2)*($H$4*A9+$H$5*A9^2)</f>
        <v>0.11638524150000001</v>
      </c>
      <c r="D9" s="31">
        <f t="shared" si="0"/>
        <v>6.5061493750000199E-2</v>
      </c>
    </row>
    <row r="10" spans="1:8">
      <c r="A10" s="26">
        <v>-17</v>
      </c>
      <c r="B10" s="26">
        <f>$H$2*(1+$H$4*A10+$H$5*A10^2)</f>
        <v>933.39200249999999</v>
      </c>
      <c r="C10" s="26">
        <f>($H$3/-2)*($H$4*A10+$H$5*A10^2)</f>
        <v>0.109903195875</v>
      </c>
      <c r="D10" s="31">
        <f t="shared" si="0"/>
        <v>9.2070017187500616E-2</v>
      </c>
    </row>
    <row r="11" spans="1:8">
      <c r="A11" s="26">
        <v>-16</v>
      </c>
      <c r="B11" s="26">
        <f>$H$2*(1+$H$4*A11+$H$5*A11^2)</f>
        <v>937.31935999999996</v>
      </c>
      <c r="C11" s="26">
        <f>($H$3/-2)*($H$4*A11+$H$5*A11^2)</f>
        <v>0.10342305599999999</v>
      </c>
      <c r="D11" s="31">
        <f t="shared" si="0"/>
        <v>0.11907059999999998</v>
      </c>
    </row>
    <row r="12" spans="1:8">
      <c r="A12" s="26">
        <v>-15</v>
      </c>
      <c r="B12" s="26">
        <f>$H$2*(1+$H$4*A12+$H$5*A12^2)</f>
        <v>941.24556250000001</v>
      </c>
      <c r="C12" s="26">
        <f>($H$3/-2)*($H$4*A12+$H$5*A12^2)</f>
        <v>9.694482187499999E-2</v>
      </c>
      <c r="D12" s="31">
        <f t="shared" si="0"/>
        <v>0.14606324218750014</v>
      </c>
    </row>
    <row r="13" spans="1:8">
      <c r="A13" s="26">
        <v>-14</v>
      </c>
      <c r="B13" s="26">
        <f>$H$2*(1+$H$4*A13+$H$5*A13^2)</f>
        <v>945.17061000000001</v>
      </c>
      <c r="C13" s="26">
        <f>($H$3/-2)*($H$4*A13+$H$5*A13^2)</f>
        <v>9.0468493499999997E-2</v>
      </c>
      <c r="D13" s="31">
        <f t="shared" si="0"/>
        <v>0.17304794375000015</v>
      </c>
    </row>
    <row r="14" spans="1:8">
      <c r="A14" s="26">
        <v>-13</v>
      </c>
      <c r="B14" s="26">
        <f>$H$2*(1+$H$4*A14+$H$5*A14^2)</f>
        <v>949.09450249999998</v>
      </c>
      <c r="C14" s="26">
        <f>($H$3/-2)*($H$4*A14+$H$5*A14^2)</f>
        <v>8.3994070874999993E-2</v>
      </c>
      <c r="D14" s="31">
        <f t="shared" si="0"/>
        <v>0.20002470468750008</v>
      </c>
    </row>
    <row r="15" spans="1:8">
      <c r="A15" s="26">
        <v>-12</v>
      </c>
      <c r="B15" s="26">
        <f>$H$2*(1+$H$4*A15+$H$5*A15^2)</f>
        <v>953.01724000000002</v>
      </c>
      <c r="C15" s="26">
        <f>($H$3/-2)*($H$4*A15+$H$5*A15^2)</f>
        <v>7.7521553999999993E-2</v>
      </c>
      <c r="D15" s="31">
        <f t="shared" si="0"/>
        <v>0.22699352500000078</v>
      </c>
    </row>
    <row r="16" spans="1:8">
      <c r="A16" s="26">
        <v>-11</v>
      </c>
      <c r="B16" s="26">
        <f>$H$2*(1+$H$4*A16+$H$5*A16^2)</f>
        <v>956.93882250000001</v>
      </c>
      <c r="C16" s="26">
        <f>($H$3/-2)*($H$4*A16+$H$5*A16^2)</f>
        <v>7.1050942874999995E-2</v>
      </c>
      <c r="D16" s="31">
        <f t="shared" si="0"/>
        <v>0.25395440468750041</v>
      </c>
    </row>
    <row r="17" spans="1:4">
      <c r="A17" s="26">
        <v>-10</v>
      </c>
      <c r="B17" s="26">
        <f>$H$2*(1+$H$4*A17+$H$5*A17^2)</f>
        <v>960.85925000000009</v>
      </c>
      <c r="C17" s="26">
        <f>($H$3/-2)*($H$4*A17+$H$5*A17^2)</f>
        <v>6.45822375E-2</v>
      </c>
      <c r="D17" s="31">
        <f t="shared" si="0"/>
        <v>0.28090734375000087</v>
      </c>
    </row>
    <row r="18" spans="1:4">
      <c r="A18" s="26">
        <v>-9</v>
      </c>
      <c r="B18" s="26">
        <f>$H$2*(1+$H$4*A18+$H$5*A18^2)</f>
        <v>964.77852250000001</v>
      </c>
      <c r="C18" s="26">
        <f>($H$3/-2)*($H$4*A18+$H$5*A18^2)</f>
        <v>5.8115437874999995E-2</v>
      </c>
      <c r="D18" s="31">
        <f t="shared" si="0"/>
        <v>0.30785234218750024</v>
      </c>
    </row>
    <row r="19" spans="1:4">
      <c r="A19" s="26">
        <v>-8</v>
      </c>
      <c r="B19" s="26">
        <f>$H$2*(1+$H$4*A19+$H$5*A19^2)</f>
        <v>968.69664</v>
      </c>
      <c r="C19" s="26">
        <f>($H$3/-2)*($H$4*A19+$H$5*A19^2)</f>
        <v>5.1650544E-2</v>
      </c>
      <c r="D19" s="31">
        <f t="shared" si="0"/>
        <v>0.3347894000000004</v>
      </c>
    </row>
    <row r="20" spans="1:4">
      <c r="A20" s="26">
        <v>-7</v>
      </c>
      <c r="B20" s="26">
        <f>$H$2*(1+$H$4*A20+$H$5*A20^2)</f>
        <v>972.61360249999996</v>
      </c>
      <c r="C20" s="26">
        <f>($H$3/-2)*($H$4*A20+$H$5*A20^2)</f>
        <v>4.5187555874999993E-2</v>
      </c>
      <c r="D20" s="31">
        <f t="shared" si="0"/>
        <v>0.36171851718750048</v>
      </c>
    </row>
    <row r="21" spans="1:4">
      <c r="A21" s="26">
        <v>-6</v>
      </c>
      <c r="B21" s="26">
        <f>$H$2*(1+$H$4*A21+$H$5*A21^2)</f>
        <v>976.5294100000001</v>
      </c>
      <c r="C21" s="26">
        <f>($H$3/-2)*($H$4*A21+$H$5*A21^2)</f>
        <v>3.8726473499999997E-2</v>
      </c>
      <c r="D21" s="31">
        <f t="shared" si="0"/>
        <v>0.38863969375000135</v>
      </c>
    </row>
    <row r="22" spans="1:4">
      <c r="A22" s="26">
        <v>-5</v>
      </c>
      <c r="B22" s="26">
        <f>$H$2*(1+$H$4*A22+$H$5*A22^2)</f>
        <v>980.44406250000009</v>
      </c>
      <c r="C22" s="26">
        <f>($H$3/-2)*($H$4*A22+$H$5*A22^2)</f>
        <v>3.2267296874999997E-2</v>
      </c>
      <c r="D22" s="31">
        <f t="shared" si="0"/>
        <v>0.41555292968750113</v>
      </c>
    </row>
    <row r="23" spans="1:4">
      <c r="A23" s="26">
        <v>-4</v>
      </c>
      <c r="B23" s="26">
        <f>$H$2*(1+$H$4*A23+$H$5*A23^2)</f>
        <v>984.35755999999992</v>
      </c>
      <c r="C23" s="26">
        <f>($H$3/-2)*($H$4*A23+$H$5*A23^2)</f>
        <v>2.5810026E-2</v>
      </c>
      <c r="D23" s="31">
        <f t="shared" si="0"/>
        <v>0.44245822499999987</v>
      </c>
    </row>
    <row r="24" spans="1:4">
      <c r="A24" s="26">
        <v>-3</v>
      </c>
      <c r="B24" s="26">
        <f>$H$2*(1+$H$4*A24+$H$5*A24^2)</f>
        <v>988.26990249999994</v>
      </c>
      <c r="C24" s="26">
        <f>($H$3/-2)*($H$4*A24+$H$5*A24^2)</f>
        <v>1.9354660874999999E-2</v>
      </c>
      <c r="D24" s="31">
        <f t="shared" si="0"/>
        <v>0.46935557968750036</v>
      </c>
    </row>
    <row r="25" spans="1:4">
      <c r="A25" s="26">
        <v>-2</v>
      </c>
      <c r="B25" s="26">
        <f>$H$2*(1+$H$4*A25+$H$5*A25^2)</f>
        <v>992.18109000000015</v>
      </c>
      <c r="C25" s="26">
        <f>($H$3/-2)*($H$4*A25+$H$5*A25^2)</f>
        <v>1.2901201499999999E-2</v>
      </c>
      <c r="D25" s="31">
        <f t="shared" si="0"/>
        <v>0.49624499375000164</v>
      </c>
    </row>
    <row r="26" spans="1:4">
      <c r="A26" s="26">
        <v>-1</v>
      </c>
      <c r="B26" s="26">
        <f>$H$2*(1+$H$4*A26+$H$5*A26^2)</f>
        <v>996.09112249999998</v>
      </c>
      <c r="C26" s="26">
        <f>($H$3/-2)*($H$4*A26+$H$5*A26^2)</f>
        <v>6.4496478749999989E-3</v>
      </c>
      <c r="D26" s="31">
        <f t="shared" si="0"/>
        <v>0.5231264671875</v>
      </c>
    </row>
    <row r="27" spans="1:4">
      <c r="A27" s="26">
        <v>0</v>
      </c>
      <c r="B27" s="26">
        <f>$H$2*(1+$H$4*A27+$H$5*A27^2)</f>
        <v>1000</v>
      </c>
      <c r="C27" s="26">
        <f>($H$3/-2)*($H$4*A27+$H$5*A27^2)</f>
        <v>0</v>
      </c>
      <c r="D27" s="31">
        <f t="shared" si="0"/>
        <v>0.55000000000000004</v>
      </c>
    </row>
    <row r="28" spans="1:4">
      <c r="A28" s="26">
        <v>1</v>
      </c>
      <c r="B28" s="26">
        <f>$H$2*(1+$H$4*A28+$H$5*A28^2)</f>
        <v>1003.9077225</v>
      </c>
      <c r="C28" s="26">
        <f>($H$3/-2)*($H$4*A28+$H$5*A28^2)</f>
        <v>-6.4477421250000002E-3</v>
      </c>
      <c r="D28" s="31">
        <f t="shared" si="0"/>
        <v>0.5768655921875</v>
      </c>
    </row>
    <row r="29" spans="1:4">
      <c r="A29" s="26">
        <v>2</v>
      </c>
      <c r="B29" s="26">
        <f>$H$2*(1+$H$4*A29+$H$5*A29^2)</f>
        <v>1007.81429</v>
      </c>
      <c r="C29" s="26">
        <f>($H$3/-2)*($H$4*A29+$H$5*A29^2)</f>
        <v>-1.2893578499999999E-2</v>
      </c>
      <c r="D29" s="31">
        <f t="shared" si="0"/>
        <v>0.60372324375000075</v>
      </c>
    </row>
    <row r="30" spans="1:4">
      <c r="A30" s="26">
        <v>3</v>
      </c>
      <c r="B30" s="26">
        <f>$H$2*(1+$H$4*A30+$H$5*A30^2)</f>
        <v>1011.7197025</v>
      </c>
      <c r="C30" s="26">
        <f>($H$3/-2)*($H$4*A30+$H$5*A30^2)</f>
        <v>-1.9337509124999999E-2</v>
      </c>
      <c r="D30" s="31">
        <f t="shared" si="0"/>
        <v>0.63057295468750052</v>
      </c>
    </row>
    <row r="31" spans="1:4">
      <c r="A31" s="26">
        <v>4</v>
      </c>
      <c r="B31" s="26">
        <f>$H$2*(1+$H$4*A31+$H$5*A31^2)</f>
        <v>1015.6239599999999</v>
      </c>
      <c r="C31" s="26">
        <f>($H$3/-2)*($H$4*A31+$H$5*A31^2)</f>
        <v>-2.5779533999999996E-2</v>
      </c>
      <c r="D31" s="31">
        <f t="shared" si="0"/>
        <v>0.65741472500000009</v>
      </c>
    </row>
    <row r="32" spans="1:4">
      <c r="A32" s="26">
        <v>5</v>
      </c>
      <c r="B32" s="26">
        <f>$H$2*(1+$H$4*A32+$H$5*A32^2)</f>
        <v>1019.5270625000002</v>
      </c>
      <c r="C32" s="26">
        <f>($H$3/-2)*($H$4*A32+$H$5*A32^2)</f>
        <v>-3.2219653124999997E-2</v>
      </c>
      <c r="D32" s="31">
        <f t="shared" si="0"/>
        <v>0.68424855468750134</v>
      </c>
    </row>
    <row r="33" spans="1:4">
      <c r="A33" s="26">
        <v>6</v>
      </c>
      <c r="B33" s="26">
        <f>$H$2*(1+$H$4*A33+$H$5*A33^2)</f>
        <v>1023.4290100000001</v>
      </c>
      <c r="C33" s="26">
        <f>($H$3/-2)*($H$4*A33+$H$5*A33^2)</f>
        <v>-3.8657866499999999E-2</v>
      </c>
      <c r="D33" s="31">
        <f t="shared" si="0"/>
        <v>0.71107444375000062</v>
      </c>
    </row>
    <row r="34" spans="1:4">
      <c r="A34" s="26">
        <v>7</v>
      </c>
      <c r="B34" s="26">
        <f>$H$2*(1+$H$4*A34+$H$5*A34^2)</f>
        <v>1027.3298024999999</v>
      </c>
      <c r="C34" s="26">
        <f>($H$3/-2)*($H$4*A34+$H$5*A34^2)</f>
        <v>-4.5094174124999997E-2</v>
      </c>
      <c r="D34" s="31">
        <f t="shared" si="0"/>
        <v>0.7378923921874998</v>
      </c>
    </row>
    <row r="35" spans="1:4">
      <c r="A35" s="26">
        <v>8</v>
      </c>
      <c r="B35" s="26">
        <f>$H$2*(1+$H$4*A35+$H$5*A35^2)</f>
        <v>1031.2294399999998</v>
      </c>
      <c r="C35" s="26">
        <f>($H$3/-2)*($H$4*A35+$H$5*A35^2)</f>
        <v>-5.1528576E-2</v>
      </c>
      <c r="D35" s="31">
        <f t="shared" si="0"/>
        <v>0.76470239999999889</v>
      </c>
    </row>
    <row r="36" spans="1:4">
      <c r="A36" s="26">
        <v>9</v>
      </c>
      <c r="B36" s="26">
        <f>$H$2*(1+$H$4*A36+$H$5*A36^2)</f>
        <v>1035.1279225000001</v>
      </c>
      <c r="C36" s="26">
        <f>($H$3/-2)*($H$4*A36+$H$5*A36^2)</f>
        <v>-5.7961072125000006E-2</v>
      </c>
      <c r="D36" s="31">
        <f t="shared" si="0"/>
        <v>0.79150446718750056</v>
      </c>
    </row>
    <row r="37" spans="1:4">
      <c r="A37" s="26">
        <v>10</v>
      </c>
      <c r="B37" s="26">
        <f>$H$2*(1+$H$4*A37+$H$5*A37^2)</f>
        <v>1039.0252499999999</v>
      </c>
      <c r="C37" s="26">
        <f>($H$3/-2)*($H$4*A37+$H$5*A37^2)</f>
        <v>-6.4391662499999988E-2</v>
      </c>
      <c r="D37" s="31">
        <f t="shared" si="0"/>
        <v>0.81829859374999936</v>
      </c>
    </row>
    <row r="38" spans="1:4">
      <c r="A38" s="26">
        <v>11</v>
      </c>
      <c r="B38" s="26">
        <f>$H$2*(1+$H$4*A38+$H$5*A38^2)</f>
        <v>1042.9214224999998</v>
      </c>
      <c r="C38" s="26">
        <f>($H$3/-2)*($H$4*A38+$H$5*A38^2)</f>
        <v>-7.0820347124999988E-2</v>
      </c>
      <c r="D38" s="31">
        <f t="shared" si="0"/>
        <v>0.84508477968749895</v>
      </c>
    </row>
    <row r="39" spans="1:4">
      <c r="A39" s="26">
        <v>12</v>
      </c>
      <c r="B39" s="26">
        <f>$H$2*(1+$H$4*A39+$H$5*A39^2)</f>
        <v>1046.8164400000001</v>
      </c>
      <c r="C39" s="26">
        <f>($H$3/-2)*($H$4*A39+$H$5*A39^2)</f>
        <v>-7.7247125999999999E-2</v>
      </c>
      <c r="D39" s="31">
        <f t="shared" si="0"/>
        <v>0.87186302500000123</v>
      </c>
    </row>
    <row r="40" spans="1:4">
      <c r="A40" s="26">
        <v>13</v>
      </c>
      <c r="B40" s="26">
        <f>$H$2*(1+$H$4*A40+$H$5*A40^2)</f>
        <v>1050.7103024999999</v>
      </c>
      <c r="C40" s="26">
        <f>($H$3/-2)*($H$4*A40+$H$5*A40^2)</f>
        <v>-8.3671999125000007E-2</v>
      </c>
      <c r="D40" s="31">
        <f t="shared" si="0"/>
        <v>0.89863332968749965</v>
      </c>
    </row>
    <row r="41" spans="1:4">
      <c r="A41" s="26">
        <v>14</v>
      </c>
      <c r="B41" s="26">
        <f>$H$2*(1+$H$4*A41+$H$5*A41^2)</f>
        <v>1054.60301</v>
      </c>
      <c r="C41" s="26">
        <f>($H$3/-2)*($H$4*A41+$H$5*A41^2)</f>
        <v>-9.0094966499999998E-2</v>
      </c>
      <c r="D41" s="31">
        <f t="shared" si="0"/>
        <v>0.92539569375000075</v>
      </c>
    </row>
    <row r="42" spans="1:4">
      <c r="A42" s="26">
        <v>15</v>
      </c>
      <c r="B42" s="26">
        <f>$H$2*(1+$H$4*A42+$H$5*A42^2)</f>
        <v>1058.4945625000003</v>
      </c>
      <c r="C42" s="26">
        <f>($H$3/-2)*($H$4*A42+$H$5*A42^2)</f>
        <v>-9.6516028124999986E-2</v>
      </c>
      <c r="D42" s="31">
        <f t="shared" si="0"/>
        <v>0.95215011718750253</v>
      </c>
    </row>
    <row r="43" spans="1:4">
      <c r="A43" s="26">
        <v>16</v>
      </c>
      <c r="B43" s="26">
        <f>$H$2*(1+$H$4*A43+$H$5*A43^2)</f>
        <v>1062.3849600000001</v>
      </c>
      <c r="C43" s="26">
        <f>($H$3/-2)*($H$4*A43+$H$5*A43^2)</f>
        <v>-0.10293518399999999</v>
      </c>
      <c r="D43" s="31">
        <f t="shared" si="0"/>
        <v>0.97889660000000056</v>
      </c>
    </row>
    <row r="44" spans="1:4">
      <c r="A44" s="26">
        <v>17</v>
      </c>
      <c r="B44" s="26">
        <f>$H$2*(1+$H$4*A44+$H$5*A44^2)</f>
        <v>1066.2742025</v>
      </c>
      <c r="C44" s="26">
        <f>($H$3/-2)*($H$4*A44+$H$5*A44^2)</f>
        <v>-0.10935243412499999</v>
      </c>
      <c r="D44" s="31">
        <f t="shared" si="0"/>
        <v>1.0056351421875003</v>
      </c>
    </row>
    <row r="45" spans="1:4">
      <c r="A45" s="26">
        <v>18</v>
      </c>
      <c r="B45" s="26">
        <f>$H$2*(1+$H$4*A45+$H$5*A45^2)</f>
        <v>1070.16229</v>
      </c>
      <c r="C45" s="26">
        <f>($H$3/-2)*($H$4*A45+$H$5*A45^2)</f>
        <v>-0.1157677785</v>
      </c>
      <c r="D45" s="31">
        <f t="shared" si="0"/>
        <v>1.03236574375</v>
      </c>
    </row>
    <row r="46" spans="1:4">
      <c r="A46" s="26">
        <v>19</v>
      </c>
      <c r="B46" s="26">
        <f>$H$2*(1+$H$4*A46+$H$5*A46^2)</f>
        <v>1074.0492225</v>
      </c>
      <c r="C46" s="26">
        <f>($H$3/-2)*($H$4*A46+$H$5*A46^2)</f>
        <v>-0.12218121712499999</v>
      </c>
      <c r="D46" s="31">
        <f t="shared" si="0"/>
        <v>1.0590884046875004</v>
      </c>
    </row>
    <row r="47" spans="1:4">
      <c r="A47" s="26">
        <v>20</v>
      </c>
      <c r="B47" s="26">
        <f>$H$2*(1+$H$4*A47+$H$5*A47^2)</f>
        <v>1077.9349999999999</v>
      </c>
      <c r="C47" s="26">
        <f>($H$3/-2)*($H$4*A47+$H$5*A47^2)</f>
        <v>-0.12859275000000001</v>
      </c>
      <c r="D47" s="31">
        <f t="shared" si="0"/>
        <v>1.0858031249999998</v>
      </c>
    </row>
    <row r="48" spans="1:4">
      <c r="A48" s="26">
        <v>21</v>
      </c>
      <c r="B48" s="26">
        <f>$H$2*(1+$H$4*A48+$H$5*A48^2)</f>
        <v>1081.8196224999999</v>
      </c>
      <c r="C48" s="26">
        <f>($H$3/-2)*($H$4*A48+$H$5*A48^2)</f>
        <v>-0.13500237712500002</v>
      </c>
      <c r="D48" s="31">
        <f t="shared" si="0"/>
        <v>1.1125099046875</v>
      </c>
    </row>
    <row r="49" spans="1:4">
      <c r="A49" s="26">
        <v>22</v>
      </c>
      <c r="B49" s="26">
        <f>$H$2*(1+$H$4*A49+$H$5*A49^2)</f>
        <v>1085.70309</v>
      </c>
      <c r="C49" s="26">
        <f>($H$3/-2)*($H$4*A49+$H$5*A49^2)</f>
        <v>-0.1414100985</v>
      </c>
      <c r="D49" s="31">
        <f t="shared" si="0"/>
        <v>1.13920874375</v>
      </c>
    </row>
    <row r="50" spans="1:4">
      <c r="A50" s="26">
        <v>23</v>
      </c>
      <c r="B50" s="26">
        <f>$H$2*(1+$H$4*A50+$H$5*A50^2)</f>
        <v>1089.5854024999999</v>
      </c>
      <c r="C50" s="26">
        <f>($H$3/-2)*($H$4*A50+$H$5*A50^2)</f>
        <v>-0.14781591412499998</v>
      </c>
      <c r="D50" s="31">
        <f t="shared" si="0"/>
        <v>1.1658996421874999</v>
      </c>
    </row>
    <row r="51" spans="1:4">
      <c r="A51" s="26">
        <v>24</v>
      </c>
      <c r="B51" s="26">
        <f>$H$2*(1+$H$4*A51+$H$5*A51^2)</f>
        <v>1093.4665600000001</v>
      </c>
      <c r="C51" s="26">
        <f>($H$3/-2)*($H$4*A51+$H$5*A51^2)</f>
        <v>-0.15421982400000001</v>
      </c>
      <c r="D51" s="31">
        <f t="shared" si="0"/>
        <v>1.1925826000000006</v>
      </c>
    </row>
    <row r="52" spans="1:4">
      <c r="A52" s="26">
        <v>25</v>
      </c>
      <c r="B52" s="26">
        <f>$H$2*(1+$H$4*A52+$H$5*A52^2)</f>
        <v>1097.3465625000001</v>
      </c>
      <c r="C52" s="26">
        <f>($H$3/-2)*($H$4*A52+$H$5*A52^2)</f>
        <v>-0.16062182812499998</v>
      </c>
      <c r="D52" s="31">
        <f t="shared" si="0"/>
        <v>1.2192576171875011</v>
      </c>
    </row>
    <row r="53" spans="1:4">
      <c r="A53" s="26">
        <v>26</v>
      </c>
      <c r="B53" s="26">
        <f>$H$2*(1+$H$4*A53+$H$5*A53^2)</f>
        <v>1101.22541</v>
      </c>
      <c r="C53" s="26">
        <f>($H$3/-2)*($H$4*A53+$H$5*A53^2)</f>
        <v>-0.1670219265</v>
      </c>
      <c r="D53" s="31">
        <f t="shared" si="0"/>
        <v>1.2459246937500006</v>
      </c>
    </row>
    <row r="54" spans="1:4">
      <c r="A54" s="26">
        <v>27</v>
      </c>
      <c r="B54" s="26">
        <f>$H$2*(1+$H$4*A54+$H$5*A54^2)</f>
        <v>1105.1031025</v>
      </c>
      <c r="C54" s="26">
        <f>($H$3/-2)*($H$4*A54+$H$5*A54^2)</f>
        <v>-0.17342011912499997</v>
      </c>
      <c r="D54" s="31">
        <f t="shared" si="0"/>
        <v>1.2725838296875001</v>
      </c>
    </row>
    <row r="55" spans="1:4">
      <c r="A55" s="26">
        <v>28</v>
      </c>
      <c r="B55" s="26">
        <f>$H$2*(1+$H$4*A55+$H$5*A55^2)</f>
        <v>1108.97964</v>
      </c>
      <c r="C55" s="26">
        <f>($H$3/-2)*($H$4*A55+$H$5*A55^2)</f>
        <v>-0.17981640599999998</v>
      </c>
      <c r="D55" s="31">
        <f t="shared" si="0"/>
        <v>1.2992350250000002</v>
      </c>
    </row>
    <row r="56" spans="1:4">
      <c r="A56" s="26">
        <v>29</v>
      </c>
      <c r="B56" s="26">
        <f>$H$2*(1+$H$4*A56+$H$5*A56^2)</f>
        <v>1112.8550224999999</v>
      </c>
      <c r="C56" s="26">
        <f>($H$3/-2)*($H$4*A56+$H$5*A56^2)</f>
        <v>-0.186210787125</v>
      </c>
      <c r="D56" s="31">
        <f t="shared" si="0"/>
        <v>1.3258782796874995</v>
      </c>
    </row>
    <row r="57" spans="1:4">
      <c r="A57" s="26">
        <v>30</v>
      </c>
      <c r="B57" s="26">
        <f>$H$2*(1+$H$4*A57+$H$5*A57^2)</f>
        <v>1116.7292499999999</v>
      </c>
      <c r="C57" s="26">
        <f>($H$3/-2)*($H$4*A57+$H$5*A57^2)</f>
        <v>-0.19260326249999998</v>
      </c>
      <c r="D57" s="31">
        <f t="shared" si="0"/>
        <v>1.3525135937499995</v>
      </c>
    </row>
    <row r="58" spans="1:4">
      <c r="A58" s="26">
        <v>31</v>
      </c>
      <c r="B58" s="26">
        <f>$H$2*(1+$H$4*A58+$H$5*A58^2)</f>
        <v>1120.6023224999999</v>
      </c>
      <c r="C58" s="26">
        <f>($H$3/-2)*($H$4*A58+$H$5*A58^2)</f>
        <v>-0.19899383212499999</v>
      </c>
      <c r="D58" s="31">
        <f t="shared" si="0"/>
        <v>1.3791409671875001</v>
      </c>
    </row>
    <row r="59" spans="1:4">
      <c r="A59" s="26">
        <v>32</v>
      </c>
      <c r="B59" s="26">
        <f>$H$2*(1+$H$4*A59+$H$5*A59^2)</f>
        <v>1124.47424</v>
      </c>
      <c r="C59" s="26">
        <f>($H$3/-2)*($H$4*A59+$H$5*A59^2)</f>
        <v>-0.205382496</v>
      </c>
      <c r="D59" s="31">
        <f t="shared" si="0"/>
        <v>1.4057604000000008</v>
      </c>
    </row>
    <row r="60" spans="1:4">
      <c r="A60" s="26">
        <v>33</v>
      </c>
      <c r="B60" s="26">
        <f>$H$2*(1+$H$4*A60+$H$5*A60^2)</f>
        <v>1128.3450025000002</v>
      </c>
      <c r="C60" s="26">
        <f>($H$3/-2)*($H$4*A60+$H$5*A60^2)</f>
        <v>-0.211769254125</v>
      </c>
      <c r="D60" s="31">
        <f t="shared" si="0"/>
        <v>1.4323718921875022</v>
      </c>
    </row>
    <row r="61" spans="1:4">
      <c r="A61" s="26">
        <v>34</v>
      </c>
      <c r="B61" s="26">
        <f>$H$2*(1+$H$4*A61+$H$5*A61^2)</f>
        <v>1132.2146100000002</v>
      </c>
      <c r="C61" s="26">
        <f>($H$3/-2)*($H$4*A61+$H$5*A61^2)</f>
        <v>-0.2181541065</v>
      </c>
      <c r="D61" s="31">
        <f t="shared" si="0"/>
        <v>1.4589754437500015</v>
      </c>
    </row>
    <row r="62" spans="1:4">
      <c r="A62" s="26">
        <v>35</v>
      </c>
      <c r="B62" s="26">
        <f>$H$2*(1+$H$4*A62+$H$5*A62^2)</f>
        <v>1136.0830625000001</v>
      </c>
      <c r="C62" s="26">
        <f>($H$3/-2)*($H$4*A62+$H$5*A62^2)</f>
        <v>-0.22453705312500002</v>
      </c>
      <c r="D62" s="31">
        <f t="shared" si="0"/>
        <v>1.4855710546875007</v>
      </c>
    </row>
    <row r="63" spans="1:4">
      <c r="A63" s="26">
        <v>36</v>
      </c>
      <c r="B63" s="26">
        <f>$H$2*(1+$H$4*A63+$H$5*A63^2)</f>
        <v>1139.95036</v>
      </c>
      <c r="C63" s="26">
        <f>($H$3/-2)*($H$4*A63+$H$5*A63^2)</f>
        <v>-0.23091809400000002</v>
      </c>
      <c r="D63" s="31">
        <f t="shared" si="0"/>
        <v>1.5121587250000008</v>
      </c>
    </row>
    <row r="64" spans="1:4">
      <c r="A64" s="26">
        <v>37</v>
      </c>
      <c r="B64" s="26">
        <f>$H$2*(1+$H$4*A64+$H$5*A64^2)</f>
        <v>1143.8165025000001</v>
      </c>
      <c r="C64" s="26">
        <f>($H$3/-2)*($H$4*A64+$H$5*A64^2)</f>
        <v>-0.23729722912499998</v>
      </c>
      <c r="D64" s="31">
        <f t="shared" si="0"/>
        <v>1.5387384546875009</v>
      </c>
    </row>
    <row r="65" spans="1:4">
      <c r="A65" s="26">
        <v>38</v>
      </c>
      <c r="B65" s="26">
        <f>$H$2*(1+$H$4*A65+$H$5*A65^2)</f>
        <v>1147.6814899999999</v>
      </c>
      <c r="C65" s="26">
        <f>($H$3/-2)*($H$4*A65+$H$5*A65^2)</f>
        <v>-0.2436744585</v>
      </c>
      <c r="D65" s="31">
        <f t="shared" si="0"/>
        <v>1.5653102437499997</v>
      </c>
    </row>
    <row r="66" spans="1:4">
      <c r="A66" s="26">
        <v>39</v>
      </c>
      <c r="B66" s="26">
        <f>$H$2*(1+$H$4*A66+$H$5*A66^2)</f>
        <v>1151.5453224999999</v>
      </c>
      <c r="C66" s="26">
        <f>($H$3/-2)*($H$4*A66+$H$5*A66^2)</f>
        <v>-0.25004978212499995</v>
      </c>
      <c r="D66" s="31">
        <f t="shared" si="0"/>
        <v>1.5918740921874994</v>
      </c>
    </row>
    <row r="67" spans="1:4">
      <c r="A67" s="26">
        <v>40</v>
      </c>
      <c r="B67" s="26">
        <f>$H$2*(1+$H$4*A67+$H$5*A67^2)</f>
        <v>1155.4079999999999</v>
      </c>
      <c r="C67" s="26">
        <f>($H$3/-2)*($H$4*A67+$H$5*A67^2)</f>
        <v>-0.25642319999999996</v>
      </c>
      <c r="D67" s="31">
        <f t="shared" si="0"/>
        <v>1.61843</v>
      </c>
    </row>
    <row r="68" spans="1:4">
      <c r="A68" s="26">
        <v>41</v>
      </c>
      <c r="B68" s="26">
        <f>$H$2*(1+$H$4*A68+$H$5*A68^2)</f>
        <v>1159.2695224999998</v>
      </c>
      <c r="C68" s="26">
        <f>($H$3/-2)*($H$4*A68+$H$5*A68^2)</f>
        <v>-0.262794712125</v>
      </c>
      <c r="D68" s="31">
        <f t="shared" si="0"/>
        <v>1.6449779671874984</v>
      </c>
    </row>
    <row r="69" spans="1:4">
      <c r="A69" s="26">
        <v>42</v>
      </c>
      <c r="B69" s="26">
        <f>$H$2*(1+$H$4*A69+$H$5*A69^2)</f>
        <v>1163.1298899999999</v>
      </c>
      <c r="C69" s="26">
        <f>($H$3/-2)*($H$4*A69+$H$5*A69^2)</f>
        <v>-0.2691643185</v>
      </c>
      <c r="D69" s="31">
        <f t="shared" si="0"/>
        <v>1.6715179937499998</v>
      </c>
    </row>
    <row r="70" spans="1:4">
      <c r="A70" s="26">
        <v>43</v>
      </c>
      <c r="B70" s="26">
        <f>$H$2*(1+$H$4*A70+$H$5*A70^2)</f>
        <v>1166.9891025000002</v>
      </c>
      <c r="C70" s="26">
        <f>($H$3/-2)*($H$4*A70+$H$5*A70^2)</f>
        <v>-0.27553201912500003</v>
      </c>
      <c r="D70" s="31">
        <f t="shared" si="0"/>
        <v>1.6980500796875015</v>
      </c>
    </row>
    <row r="71" spans="1:4">
      <c r="A71" s="26">
        <v>44</v>
      </c>
      <c r="B71" s="26">
        <f>$H$2*(1+$H$4*A71+$H$5*A71^2)</f>
        <v>1170.84716</v>
      </c>
      <c r="C71" s="26">
        <f>($H$3/-2)*($H$4*A71+$H$5*A71^2)</f>
        <v>-0.28189781399999997</v>
      </c>
      <c r="D71" s="31">
        <f t="shared" si="0"/>
        <v>1.7245742250000007</v>
      </c>
    </row>
    <row r="72" spans="1:4">
      <c r="A72" s="26">
        <v>45</v>
      </c>
      <c r="B72" s="26">
        <f>$H$2*(1+$H$4*A72+$H$5*A72^2)</f>
        <v>1174.7040625</v>
      </c>
      <c r="C72" s="26">
        <f>($H$3/-2)*($H$4*A72+$H$5*A72^2)</f>
        <v>-0.28826170312499994</v>
      </c>
      <c r="D72" s="31">
        <f t="shared" ref="D72:D127" si="1">(10/2.4) * ( 0.132 - ( 1.65 - 0.00165 * B72 ) )</f>
        <v>1.7510904296875005</v>
      </c>
    </row>
    <row r="73" spans="1:4">
      <c r="A73" s="26">
        <v>46</v>
      </c>
      <c r="B73" s="26">
        <f>$H$2*(1+$H$4*A73+$H$5*A73^2)</f>
        <v>1178.5598100000002</v>
      </c>
      <c r="C73" s="26">
        <f>($H$3/-2)*($H$4*A73+$H$5*A73^2)</f>
        <v>-0.29462368649999998</v>
      </c>
      <c r="D73" s="31">
        <f t="shared" si="1"/>
        <v>1.7775986937500021</v>
      </c>
    </row>
    <row r="74" spans="1:4">
      <c r="A74" s="26">
        <v>47</v>
      </c>
      <c r="B74" s="26">
        <f>$H$2*(1+$H$4*A74+$H$5*A74^2)</f>
        <v>1182.4144025000001</v>
      </c>
      <c r="C74" s="26">
        <f>($H$3/-2)*($H$4*A74+$H$5*A74^2)</f>
        <v>-0.30098376412499994</v>
      </c>
      <c r="D74" s="31">
        <f t="shared" si="1"/>
        <v>1.8040990171875009</v>
      </c>
    </row>
    <row r="75" spans="1:4">
      <c r="A75" s="26">
        <v>48</v>
      </c>
      <c r="B75" s="26">
        <f>$H$2*(1+$H$4*A75+$H$5*A75^2)</f>
        <v>1186.26784</v>
      </c>
      <c r="C75" s="26">
        <f>($H$3/-2)*($H$4*A75+$H$5*A75^2)</f>
        <v>-0.30734193599999998</v>
      </c>
      <c r="D75" s="31">
        <f t="shared" si="1"/>
        <v>1.8305914000000003</v>
      </c>
    </row>
    <row r="76" spans="1:4">
      <c r="A76" s="26">
        <v>49</v>
      </c>
      <c r="B76" s="26">
        <f>$H$2*(1+$H$4*A76+$H$5*A76^2)</f>
        <v>1190.1201225</v>
      </c>
      <c r="C76" s="26">
        <f>($H$3/-2)*($H$4*A76+$H$5*A76^2)</f>
        <v>-0.31369820212499994</v>
      </c>
      <c r="D76" s="31">
        <f t="shared" si="1"/>
        <v>1.8570758421875007</v>
      </c>
    </row>
    <row r="77" spans="1:4">
      <c r="A77" s="26">
        <v>50</v>
      </c>
      <c r="B77" s="26">
        <f>$H$2*(1+$H$4*A77+$H$5*A77^2)</f>
        <v>1193.9712500000001</v>
      </c>
      <c r="C77" s="26">
        <f>($H$3/-2)*($H$4*A77+$H$5*A77^2)</f>
        <v>-0.32005256250000003</v>
      </c>
      <c r="D77" s="31">
        <f t="shared" si="1"/>
        <v>1.8835523437500008</v>
      </c>
    </row>
    <row r="78" spans="1:4">
      <c r="A78" s="26">
        <v>51</v>
      </c>
      <c r="B78" s="26">
        <f>$H$2*(1+$H$4*A78+$H$5*A78^2)</f>
        <v>1197.8212225</v>
      </c>
      <c r="C78" s="26">
        <f>($H$3/-2)*($H$4*A78+$H$5*A78^2)</f>
        <v>-0.32640501712499997</v>
      </c>
      <c r="D78" s="31">
        <f t="shared" si="1"/>
        <v>1.9100209046875007</v>
      </c>
    </row>
    <row r="79" spans="1:4">
      <c r="A79" s="26">
        <v>52</v>
      </c>
      <c r="B79" s="26">
        <f>$H$2*(1+$H$4*A79+$H$5*A79^2)</f>
        <v>1201.67004</v>
      </c>
      <c r="C79" s="26">
        <f>($H$3/-2)*($H$4*A79+$H$5*A79^2)</f>
        <v>-0.332755566</v>
      </c>
      <c r="D79" s="31">
        <f t="shared" si="1"/>
        <v>1.9364815250000007</v>
      </c>
    </row>
    <row r="80" spans="1:4">
      <c r="A80" s="26">
        <v>53</v>
      </c>
      <c r="B80" s="26">
        <f>$H$2*(1+$H$4*A80+$H$5*A80^2)</f>
        <v>1205.5177025</v>
      </c>
      <c r="C80" s="26">
        <f>($H$3/-2)*($H$4*A80+$H$5*A80^2)</f>
        <v>-0.33910420912499994</v>
      </c>
      <c r="D80" s="31">
        <f t="shared" si="1"/>
        <v>1.9629342046875005</v>
      </c>
    </row>
    <row r="81" spans="1:4">
      <c r="A81" s="26">
        <v>54</v>
      </c>
      <c r="B81" s="26">
        <f>$H$2*(1+$H$4*A81+$H$5*A81^2)</f>
        <v>1209.36421</v>
      </c>
      <c r="C81" s="26">
        <f>($H$3/-2)*($H$4*A81+$H$5*A81^2)</f>
        <v>-0.34545094649999997</v>
      </c>
      <c r="D81" s="31">
        <f t="shared" si="1"/>
        <v>1.98937894375</v>
      </c>
    </row>
    <row r="82" spans="1:4">
      <c r="A82" s="26">
        <v>55</v>
      </c>
      <c r="B82" s="26">
        <f>$H$2*(1+$H$4*A82+$H$5*A82^2)</f>
        <v>1213.2095624999999</v>
      </c>
      <c r="C82" s="26">
        <f>($H$3/-2)*($H$4*A82+$H$5*A82^2)</f>
        <v>-0.35179577812500001</v>
      </c>
      <c r="D82" s="31">
        <f t="shared" si="1"/>
        <v>2.0158157421875003</v>
      </c>
    </row>
    <row r="83" spans="1:4">
      <c r="A83" s="26">
        <v>56</v>
      </c>
      <c r="B83" s="26">
        <f>$H$2*(1+$H$4*A83+$H$5*A83^2)</f>
        <v>1217.05376</v>
      </c>
      <c r="C83" s="26">
        <f>($H$3/-2)*($H$4*A83+$H$5*A83^2)</f>
        <v>-0.35813870399999997</v>
      </c>
      <c r="D83" s="31">
        <f t="shared" si="1"/>
        <v>2.0422445999999996</v>
      </c>
    </row>
    <row r="84" spans="1:4">
      <c r="A84" s="26">
        <v>57</v>
      </c>
      <c r="B84" s="26">
        <f>$H$2*(1+$H$4*A84+$H$5*A84^2)</f>
        <v>1220.8968024999999</v>
      </c>
      <c r="C84" s="26">
        <f>($H$3/-2)*($H$4*A84+$H$5*A84^2)</f>
        <v>-0.36447972412499996</v>
      </c>
      <c r="D84" s="31">
        <f t="shared" si="1"/>
        <v>2.0686655171874992</v>
      </c>
    </row>
    <row r="85" spans="1:4">
      <c r="A85" s="26">
        <v>58</v>
      </c>
      <c r="B85" s="26">
        <f>$H$2*(1+$H$4*A85+$H$5*A85^2)</f>
        <v>1224.7386899999999</v>
      </c>
      <c r="C85" s="26">
        <f>($H$3/-2)*($H$4*A85+$H$5*A85^2)</f>
        <v>-0.37081883850000003</v>
      </c>
      <c r="D85" s="31">
        <f t="shared" si="1"/>
        <v>2.09507849375</v>
      </c>
    </row>
    <row r="86" spans="1:4">
      <c r="A86" s="26">
        <v>59</v>
      </c>
      <c r="B86" s="26">
        <f>$H$2*(1+$H$4*A86+$H$5*A86^2)</f>
        <v>1228.5794225</v>
      </c>
      <c r="C86" s="26">
        <f>($H$3/-2)*($H$4*A86+$H$5*A86^2)</f>
        <v>-0.377156047125</v>
      </c>
      <c r="D86" s="31">
        <f t="shared" si="1"/>
        <v>2.121483529687501</v>
      </c>
    </row>
    <row r="87" spans="1:4">
      <c r="A87" s="26">
        <v>60</v>
      </c>
      <c r="B87" s="26">
        <f>$H$2*(1+$H$4*A87+$H$5*A87^2)</f>
        <v>1232.4189999999999</v>
      </c>
      <c r="C87" s="26">
        <f>($H$3/-2)*($H$4*A87+$H$5*A87^2)</f>
        <v>-0.38349134999999995</v>
      </c>
      <c r="D87" s="31">
        <f t="shared" si="1"/>
        <v>2.1478806249999995</v>
      </c>
    </row>
    <row r="88" spans="1:4">
      <c r="A88" s="26">
        <v>61</v>
      </c>
      <c r="B88" s="26">
        <f>$H$2*(1+$H$4*A88+$H$5*A88^2)</f>
        <v>1236.2574225000001</v>
      </c>
      <c r="C88" s="26">
        <f>($H$3/-2)*($H$4*A88+$H$5*A88^2)</f>
        <v>-0.38982474712499993</v>
      </c>
      <c r="D88" s="31">
        <f t="shared" si="1"/>
        <v>2.1742697796875001</v>
      </c>
    </row>
    <row r="89" spans="1:4">
      <c r="A89" s="26">
        <v>62</v>
      </c>
      <c r="B89" s="26">
        <f>$H$2*(1+$H$4*A89+$H$5*A89^2)</f>
        <v>1240.0946900000001</v>
      </c>
      <c r="C89" s="26">
        <f>($H$3/-2)*($H$4*A89+$H$5*A89^2)</f>
        <v>-0.39615623849999998</v>
      </c>
      <c r="D89" s="31">
        <f t="shared" si="1"/>
        <v>2.2006509937500009</v>
      </c>
    </row>
    <row r="90" spans="1:4">
      <c r="A90" s="26">
        <v>63</v>
      </c>
      <c r="B90" s="26">
        <f>$H$2*(1+$H$4*A90+$H$5*A90^2)</f>
        <v>1243.9308025</v>
      </c>
      <c r="C90" s="26">
        <f>($H$3/-2)*($H$4*A90+$H$5*A90^2)</f>
        <v>-0.40248582412499995</v>
      </c>
      <c r="D90" s="31">
        <f t="shared" si="1"/>
        <v>2.2270242671875011</v>
      </c>
    </row>
    <row r="91" spans="1:4">
      <c r="A91" s="26">
        <v>64</v>
      </c>
      <c r="B91" s="26">
        <f>$H$2*(1+$H$4*A91+$H$5*A91^2)</f>
        <v>1247.76576</v>
      </c>
      <c r="C91" s="26">
        <f>($H$3/-2)*($H$4*A91+$H$5*A91^2)</f>
        <v>-0.40881350399999999</v>
      </c>
      <c r="D91" s="31">
        <f t="shared" si="1"/>
        <v>2.2533896000000011</v>
      </c>
    </row>
    <row r="92" spans="1:4">
      <c r="A92" s="26">
        <v>65</v>
      </c>
      <c r="B92" s="26">
        <f>$H$2*(1+$H$4*A92+$H$5*A92^2)</f>
        <v>1251.5995625</v>
      </c>
      <c r="C92" s="26">
        <f>($H$3/-2)*($H$4*A92+$H$5*A92^2)</f>
        <v>-0.41513927812499996</v>
      </c>
      <c r="D92" s="31">
        <f t="shared" si="1"/>
        <v>2.2797469921875013</v>
      </c>
    </row>
    <row r="93" spans="1:4">
      <c r="A93" s="26">
        <v>66</v>
      </c>
      <c r="B93" s="26">
        <f>$H$2*(1+$H$4*A93+$H$5*A93^2)</f>
        <v>1255.4322099999999</v>
      </c>
      <c r="C93" s="26">
        <f>($H$3/-2)*($H$4*A93+$H$5*A93^2)</f>
        <v>-0.42146314649999994</v>
      </c>
      <c r="D93" s="31">
        <f t="shared" si="1"/>
        <v>2.3060964437499996</v>
      </c>
    </row>
    <row r="94" spans="1:4">
      <c r="A94" s="26">
        <v>67</v>
      </c>
      <c r="B94" s="26">
        <f>$H$2*(1+$H$4*A94+$H$5*A94^2)</f>
        <v>1259.2637024999999</v>
      </c>
      <c r="C94" s="26">
        <f>($H$3/-2)*($H$4*A94+$H$5*A94^2)</f>
        <v>-0.42778510912499995</v>
      </c>
      <c r="D94" s="31">
        <f t="shared" si="1"/>
        <v>2.3324379546874994</v>
      </c>
    </row>
    <row r="95" spans="1:4">
      <c r="A95" s="26">
        <v>68</v>
      </c>
      <c r="B95" s="26">
        <f>$H$2*(1+$H$4*A95+$H$5*A95^2)</f>
        <v>1263.0940400000002</v>
      </c>
      <c r="C95" s="26">
        <f>($H$3/-2)*($H$4*A95+$H$5*A95^2)</f>
        <v>-0.43410516600000004</v>
      </c>
      <c r="D95" s="31">
        <f t="shared" si="1"/>
        <v>2.3587715250000008</v>
      </c>
    </row>
    <row r="96" spans="1:4">
      <c r="A96" s="26">
        <v>69</v>
      </c>
      <c r="B96" s="26">
        <f>$H$2*(1+$H$4*A96+$H$5*A96^2)</f>
        <v>1266.9232225000001</v>
      </c>
      <c r="C96" s="26">
        <f>($H$3/-2)*($H$4*A96+$H$5*A96^2)</f>
        <v>-0.44042331712499999</v>
      </c>
      <c r="D96" s="31">
        <f t="shared" si="1"/>
        <v>2.3850971546875006</v>
      </c>
    </row>
    <row r="97" spans="1:4">
      <c r="A97" s="26">
        <v>70</v>
      </c>
      <c r="B97" s="26">
        <f>$H$2*(1+$H$4*A97+$H$5*A97^2)</f>
        <v>1270.75125</v>
      </c>
      <c r="C97" s="26">
        <f>($H$3/-2)*($H$4*A97+$H$5*A97^2)</f>
        <v>-0.44673956249999996</v>
      </c>
      <c r="D97" s="31">
        <f t="shared" si="1"/>
        <v>2.4114148437499998</v>
      </c>
    </row>
    <row r="98" spans="1:4">
      <c r="A98" s="26">
        <v>71</v>
      </c>
      <c r="B98" s="26">
        <f>$H$2*(1+$H$4*A98+$H$5*A98^2)</f>
        <v>1274.5781225000001</v>
      </c>
      <c r="C98" s="26">
        <f>($H$3/-2)*($H$4*A98+$H$5*A98^2)</f>
        <v>-0.45305390212500002</v>
      </c>
      <c r="D98" s="31">
        <f t="shared" si="1"/>
        <v>2.437724592187501</v>
      </c>
    </row>
    <row r="99" spans="1:4">
      <c r="A99" s="26">
        <v>72</v>
      </c>
      <c r="B99" s="26">
        <f>$H$2*(1+$H$4*A99+$H$5*A99^2)</f>
        <v>1278.4038399999999</v>
      </c>
      <c r="C99" s="26">
        <f>($H$3/-2)*($H$4*A99+$H$5*A99^2)</f>
        <v>-0.45936633599999999</v>
      </c>
      <c r="D99" s="31">
        <f t="shared" si="1"/>
        <v>2.4640264000000003</v>
      </c>
    </row>
    <row r="100" spans="1:4">
      <c r="A100" s="26">
        <v>73</v>
      </c>
      <c r="B100" s="26">
        <f>$H$2*(1+$H$4*A100+$H$5*A100^2)</f>
        <v>1282.2284024999999</v>
      </c>
      <c r="C100" s="26">
        <f>($H$3/-2)*($H$4*A100+$H$5*A100^2)</f>
        <v>-0.46567686412499992</v>
      </c>
      <c r="D100" s="31">
        <f t="shared" si="1"/>
        <v>2.4903202671874993</v>
      </c>
    </row>
    <row r="101" spans="1:4">
      <c r="A101" s="26">
        <v>74</v>
      </c>
      <c r="B101" s="26">
        <f>$H$2*(1+$H$4*A101+$H$5*A101^2)</f>
        <v>1286.0518099999999</v>
      </c>
      <c r="C101" s="26">
        <f>($H$3/-2)*($H$4*A101+$H$5*A101^2)</f>
        <v>-0.47198548649999988</v>
      </c>
      <c r="D101" s="31">
        <f t="shared" si="1"/>
        <v>2.5166061937499999</v>
      </c>
    </row>
    <row r="102" spans="1:4">
      <c r="A102" s="26">
        <v>75</v>
      </c>
      <c r="B102" s="26">
        <f>$H$2*(1+$H$4*A102+$H$5*A102^2)</f>
        <v>1289.8740625</v>
      </c>
      <c r="C102" s="26">
        <f>($H$3/-2)*($H$4*A102+$H$5*A102^2)</f>
        <v>-0.47829220312500004</v>
      </c>
      <c r="D102" s="31">
        <f t="shared" si="1"/>
        <v>2.5428841796875008</v>
      </c>
    </row>
    <row r="103" spans="1:4">
      <c r="A103" s="26">
        <v>76</v>
      </c>
      <c r="B103" s="26">
        <f>$H$2*(1+$H$4*A103+$H$5*A103^2)</f>
        <v>1293.69516</v>
      </c>
      <c r="C103" s="26">
        <f>($H$3/-2)*($H$4*A103+$H$5*A103^2)</f>
        <v>-0.48459701399999999</v>
      </c>
      <c r="D103" s="31">
        <f t="shared" si="1"/>
        <v>2.569154225000001</v>
      </c>
    </row>
    <row r="104" spans="1:4">
      <c r="A104" s="26">
        <v>77</v>
      </c>
      <c r="B104" s="26">
        <f>$H$2*(1+$H$4*A104+$H$5*A104^2)</f>
        <v>1297.5151024999998</v>
      </c>
      <c r="C104" s="26">
        <f>($H$3/-2)*($H$4*A104+$H$5*A104^2)</f>
        <v>-0.49089991912500003</v>
      </c>
      <c r="D104" s="31">
        <f t="shared" si="1"/>
        <v>2.5954163296874997</v>
      </c>
    </row>
    <row r="105" spans="1:4">
      <c r="A105" s="26">
        <v>78</v>
      </c>
      <c r="B105" s="26">
        <f>$H$2*(1+$H$4*A105+$H$5*A105^2)</f>
        <v>1301.3338899999999</v>
      </c>
      <c r="C105" s="26">
        <f>($H$3/-2)*($H$4*A105+$H$5*A105^2)</f>
        <v>-0.49720091849999998</v>
      </c>
      <c r="D105" s="31">
        <f t="shared" si="1"/>
        <v>2.6216704937499999</v>
      </c>
    </row>
    <row r="106" spans="1:4">
      <c r="A106" s="26">
        <v>79</v>
      </c>
      <c r="B106" s="26">
        <f>$H$2*(1+$H$4*A106+$H$5*A106^2)</f>
        <v>1305.1515225000001</v>
      </c>
      <c r="C106" s="26">
        <f>($H$3/-2)*($H$4*A106+$H$5*A106^2)</f>
        <v>-0.50350001212499995</v>
      </c>
      <c r="D106" s="31">
        <f t="shared" si="1"/>
        <v>2.6479167171875</v>
      </c>
    </row>
    <row r="107" spans="1:4">
      <c r="A107" s="26">
        <v>80</v>
      </c>
      <c r="B107" s="26">
        <f>$H$2*(1+$H$4*A107+$H$5*A107^2)</f>
        <v>1308.9680000000001</v>
      </c>
      <c r="C107" s="26">
        <f>($H$3/-2)*($H$4*A107+$H$5*A107^2)</f>
        <v>-0.50979720000000006</v>
      </c>
      <c r="D107" s="31">
        <f t="shared" si="1"/>
        <v>2.6741550000000021</v>
      </c>
    </row>
    <row r="108" spans="1:4">
      <c r="A108" s="26">
        <v>81</v>
      </c>
      <c r="B108" s="26">
        <f>$H$2*(1+$H$4*A108+$H$5*A108^2)</f>
        <v>1312.7833225000002</v>
      </c>
      <c r="C108" s="26">
        <f>($H$3/-2)*($H$4*A108+$H$5*A108^2)</f>
        <v>-0.51609248212499992</v>
      </c>
      <c r="D108" s="31">
        <f t="shared" si="1"/>
        <v>2.7003853421875017</v>
      </c>
    </row>
    <row r="109" spans="1:4">
      <c r="A109" s="26">
        <v>82</v>
      </c>
      <c r="B109" s="26">
        <f>$H$2*(1+$H$4*A109+$H$5*A109^2)</f>
        <v>1316.5974899999999</v>
      </c>
      <c r="C109" s="26">
        <f>($H$3/-2)*($H$4*A109+$H$5*A109^2)</f>
        <v>-0.52238585849999997</v>
      </c>
      <c r="D109" s="31">
        <f t="shared" si="1"/>
        <v>2.7266077437499998</v>
      </c>
    </row>
    <row r="110" spans="1:4">
      <c r="A110" s="26">
        <v>83</v>
      </c>
      <c r="B110" s="26">
        <f>$H$2*(1+$H$4*A110+$H$5*A110^2)</f>
        <v>1320.4105024999999</v>
      </c>
      <c r="C110" s="26">
        <f>($H$3/-2)*($H$4*A110+$H$5*A110^2)</f>
        <v>-0.52867732912499987</v>
      </c>
      <c r="D110" s="31">
        <f t="shared" si="1"/>
        <v>2.7528222046874991</v>
      </c>
    </row>
    <row r="111" spans="1:4">
      <c r="A111" s="26">
        <v>84</v>
      </c>
      <c r="B111" s="26">
        <f>$H$2*(1+$H$4*A111+$H$5*A111^2)</f>
        <v>1324.22236</v>
      </c>
      <c r="C111" s="26">
        <f>($H$3/-2)*($H$4*A111+$H$5*A111^2)</f>
        <v>-0.53496689399999997</v>
      </c>
      <c r="D111" s="31">
        <f t="shared" si="1"/>
        <v>2.7790287250000008</v>
      </c>
    </row>
    <row r="112" spans="1:4">
      <c r="A112" s="26">
        <v>85</v>
      </c>
      <c r="B112" s="26">
        <f>$H$2*(1+$H$4*A112+$H$5*A112^2)</f>
        <v>1328.0330624999999</v>
      </c>
      <c r="C112" s="26">
        <f>($H$3/-2)*($H$4*A112+$H$5*A112^2)</f>
        <v>-0.54125455312499993</v>
      </c>
      <c r="D112" s="31">
        <f t="shared" si="1"/>
        <v>2.8052273046875</v>
      </c>
    </row>
    <row r="113" spans="1:4">
      <c r="A113" s="26">
        <v>86</v>
      </c>
      <c r="B113" s="26">
        <f>$H$2*(1+$H$4*A113+$H$5*A113^2)</f>
        <v>1331.8426100000001</v>
      </c>
      <c r="C113" s="26">
        <f>($H$3/-2)*($H$4*A113+$H$5*A113^2)</f>
        <v>-0.54754030650000007</v>
      </c>
      <c r="D113" s="31">
        <f t="shared" si="1"/>
        <v>2.8314179437500009</v>
      </c>
    </row>
    <row r="114" spans="1:4">
      <c r="A114" s="26">
        <v>87</v>
      </c>
      <c r="B114" s="26">
        <f>$H$2*(1+$H$4*A114+$H$5*A114^2)</f>
        <v>1335.6510025000002</v>
      </c>
      <c r="C114" s="26">
        <f>($H$3/-2)*($H$4*A114+$H$5*A114^2)</f>
        <v>-0.55382415412499997</v>
      </c>
      <c r="D114" s="31">
        <f t="shared" si="1"/>
        <v>2.857600642187502</v>
      </c>
    </row>
    <row r="115" spans="1:4">
      <c r="A115" s="26">
        <v>88</v>
      </c>
      <c r="B115" s="26">
        <f>$H$2*(1+$H$4*A115+$H$5*A115^2)</f>
        <v>1339.4582400000002</v>
      </c>
      <c r="C115" s="26">
        <f>($H$3/-2)*($H$4*A115+$H$5*A115^2)</f>
        <v>-0.56010609599999994</v>
      </c>
      <c r="D115" s="31">
        <f t="shared" si="1"/>
        <v>2.8837754000000011</v>
      </c>
    </row>
    <row r="116" spans="1:4">
      <c r="A116" s="26">
        <v>89</v>
      </c>
      <c r="B116" s="26">
        <f>$H$2*(1+$H$4*A116+$H$5*A116^2)</f>
        <v>1343.2643225000002</v>
      </c>
      <c r="C116" s="26">
        <f>($H$3/-2)*($H$4*A116+$H$5*A116^2)</f>
        <v>-0.566386132125</v>
      </c>
      <c r="D116" s="31">
        <f t="shared" si="1"/>
        <v>2.9099422171875018</v>
      </c>
    </row>
    <row r="117" spans="1:4">
      <c r="A117" s="26">
        <v>90</v>
      </c>
      <c r="B117" s="26">
        <f>$H$2*(1+$H$4*A117+$H$5*A117^2)</f>
        <v>1347.06925</v>
      </c>
      <c r="C117" s="26">
        <f>($H$3/-2)*($H$4*A117+$H$5*A117^2)</f>
        <v>-0.57266426249999991</v>
      </c>
      <c r="D117" s="31">
        <f t="shared" si="1"/>
        <v>2.9361010937500005</v>
      </c>
    </row>
    <row r="118" spans="1:4">
      <c r="A118" s="26">
        <v>91</v>
      </c>
      <c r="B118" s="26">
        <f>$H$2*(1+$H$4*A118+$H$5*A118^2)</f>
        <v>1350.8730225000002</v>
      </c>
      <c r="C118" s="26">
        <f>($H$3/-2)*($H$4*A118+$H$5*A118^2)</f>
        <v>-0.57894048712500001</v>
      </c>
      <c r="D118" s="31">
        <f t="shared" si="1"/>
        <v>2.9622520296875008</v>
      </c>
    </row>
    <row r="119" spans="1:4">
      <c r="A119" s="26">
        <v>92</v>
      </c>
      <c r="B119" s="26">
        <f>$H$2*(1+$H$4*A119+$H$5*A119^2)</f>
        <v>1354.6756399999999</v>
      </c>
      <c r="C119" s="26">
        <f>($H$3/-2)*($H$4*A119+$H$5*A119^2)</f>
        <v>-0.58521480599999987</v>
      </c>
      <c r="D119" s="31">
        <f t="shared" si="1"/>
        <v>2.9883950249999991</v>
      </c>
    </row>
    <row r="120" spans="1:4">
      <c r="A120" s="26">
        <v>93</v>
      </c>
      <c r="B120" s="26">
        <f>$H$2*(1+$H$4*A120+$H$5*A120^2)</f>
        <v>1358.4771025</v>
      </c>
      <c r="C120" s="26">
        <f>($H$3/-2)*($H$4*A120+$H$5*A120^2)</f>
        <v>-0.59148721912500002</v>
      </c>
      <c r="D120" s="31">
        <f t="shared" si="1"/>
        <v>3.0145300796875012</v>
      </c>
    </row>
    <row r="121" spans="1:4">
      <c r="A121" s="26">
        <v>94</v>
      </c>
      <c r="B121" s="26">
        <f>$H$2*(1+$H$4*A121+$H$5*A121^2)</f>
        <v>1362.2774099999999</v>
      </c>
      <c r="C121" s="26">
        <f>($H$3/-2)*($H$4*A121+$H$5*A121^2)</f>
        <v>-0.59775772649999992</v>
      </c>
      <c r="D121" s="31">
        <f t="shared" si="1"/>
        <v>3.0406571937499995</v>
      </c>
    </row>
    <row r="122" spans="1:4">
      <c r="A122" s="26">
        <v>95</v>
      </c>
      <c r="B122" s="26">
        <f>$H$2*(1+$H$4*A122+$H$5*A122^2)</f>
        <v>1366.0765624999999</v>
      </c>
      <c r="C122" s="26">
        <f>($H$3/-2)*($H$4*A122+$H$5*A122^2)</f>
        <v>-0.60402632812500001</v>
      </c>
      <c r="D122" s="31">
        <f t="shared" si="1"/>
        <v>3.0667763671874995</v>
      </c>
    </row>
    <row r="123" spans="1:4">
      <c r="A123" s="26">
        <v>96</v>
      </c>
      <c r="B123" s="26">
        <f>$H$2*(1+$H$4*A123+$H$5*A123^2)</f>
        <v>1369.87456</v>
      </c>
      <c r="C123" s="26">
        <f>($H$3/-2)*($H$4*A123+$H$5*A123^2)</f>
        <v>-0.61029302399999996</v>
      </c>
      <c r="D123" s="31">
        <f t="shared" si="1"/>
        <v>3.092887600000001</v>
      </c>
    </row>
    <row r="124" spans="1:4">
      <c r="A124" s="26">
        <v>97</v>
      </c>
      <c r="B124" s="26">
        <f>$H$2*(1+$H$4*A124+$H$5*A124^2)</f>
        <v>1373.6714024999999</v>
      </c>
      <c r="C124" s="26">
        <f>($H$3/-2)*($H$4*A124+$H$5*A124^2)</f>
        <v>-0.61655781412499988</v>
      </c>
      <c r="D124" s="31">
        <f t="shared" si="1"/>
        <v>3.1189908921875005</v>
      </c>
    </row>
    <row r="125" spans="1:4">
      <c r="A125" s="26">
        <v>98</v>
      </c>
      <c r="B125" s="26">
        <f>$H$2*(1+$H$4*A125+$H$5*A125^2)</f>
        <v>1377.4670900000001</v>
      </c>
      <c r="C125" s="26">
        <f>($H$3/-2)*($H$4*A125+$H$5*A125^2)</f>
        <v>-0.62282069849999999</v>
      </c>
      <c r="D125" s="31">
        <f t="shared" si="1"/>
        <v>3.145086243750002</v>
      </c>
    </row>
    <row r="126" spans="1:4">
      <c r="A126" s="26">
        <v>99</v>
      </c>
      <c r="B126" s="26">
        <f>$H$2*(1+$H$4*A126+$H$5*A126^2)</f>
        <v>1381.2616225000002</v>
      </c>
      <c r="C126" s="26">
        <f>($H$3/-2)*($H$4*A126+$H$5*A126^2)</f>
        <v>-0.62908167712499985</v>
      </c>
      <c r="D126" s="31">
        <f t="shared" si="1"/>
        <v>3.1711736546875016</v>
      </c>
    </row>
    <row r="127" spans="1:4">
      <c r="A127" s="26">
        <v>100</v>
      </c>
      <c r="B127" s="26">
        <f>$H$2*(1+$H$4*A127+$H$5*A127^2)</f>
        <v>1385.0549999999998</v>
      </c>
      <c r="C127" s="26">
        <f>($H$3/-2)*($H$4*A127+$H$5*A127^2)</f>
        <v>-0.63534075000000001</v>
      </c>
      <c r="D127" s="31">
        <f t="shared" si="1"/>
        <v>3.1972531249999987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674C-B4DE-4367-BB10-3F2A7B5AFC54}">
  <dimension ref="A1"/>
  <sheetViews>
    <sheetView workbookViewId="0">
      <selection activeCell="G13" sqref="G13"/>
    </sheetView>
  </sheetViews>
  <sheetFormatPr defaultRowHeight="15"/>
  <sheetData>
    <row r="1" spans="1:1">
      <c r="A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6542-69F0-4B36-8BFE-DF63C20A2C3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Custos e aquisição do material </vt:lpstr>
      <vt:lpstr>Escolha do sensor de temperatur</vt:lpstr>
      <vt:lpstr>Folha1</vt:lpstr>
      <vt:lpstr>Folha2</vt:lpstr>
      <vt:lpstr>Folha3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Cardoso (1210717)</dc:creator>
  <cp:keywords/>
  <dc:description/>
  <cp:lastModifiedBy>Pedro Cardoso (1210717)</cp:lastModifiedBy>
  <cp:revision/>
  <dcterms:created xsi:type="dcterms:W3CDTF">2025-03-25T18:37:12Z</dcterms:created>
  <dcterms:modified xsi:type="dcterms:W3CDTF">2026-06-18T21:40:38Z</dcterms:modified>
  <cp:category/>
  <cp:contentStatus/>
</cp:coreProperties>
</file>